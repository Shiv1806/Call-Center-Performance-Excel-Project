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hidePivotFieldList="1"/>
  <mc:AlternateContent xmlns:mc="http://schemas.openxmlformats.org/markup-compatibility/2006">
    <mc:Choice Requires="x15">
      <x15ac:absPath xmlns:x15ac="http://schemas.microsoft.com/office/spreadsheetml/2010/11/ac" url="C:\Desktop Material\My Projects for GitHub\"/>
    </mc:Choice>
  </mc:AlternateContent>
  <xr:revisionPtr revIDLastSave="0" documentId="13_ncr:10000001_{D89849BA-8EFA-4699-9240-E16351E601C0}" xr6:coauthVersionLast="47" xr6:coauthVersionMax="47" xr10:uidLastSave="{00000000-0000-0000-0000-000000000000}"/>
  <bookViews>
    <workbookView xWindow="-108" yWindow="-108" windowWidth="23256" windowHeight="12456" activeTab="2" xr2:uid="{26D4546B-D2A1-4444-8EAF-A6228F96F0C1}"/>
  </bookViews>
  <sheets>
    <sheet name="Pivot Tables" sheetId="6" r:id="rId1"/>
    <sheet name="Data" sheetId="2" r:id="rId2"/>
    <sheet name="Dashboard Customer Care Center" sheetId="5" r:id="rId3"/>
    <sheet name="Assets" sheetId="4"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3" r:id="rId5"/>
    <pivotCache cacheId="4" r:id="rId6"/>
    <pivotCache cacheId="5" r:id="rId7"/>
    <pivotCache cacheId="18" r:id="rId8"/>
    <pivotCache cacheId="670" r:id="rId9"/>
    <pivotCache cacheId="673" r:id="rId10"/>
    <pivotCache cacheId="676" r:id="rId11"/>
    <pivotCache cacheId="679" r:id="rId12"/>
    <pivotCache cacheId="682" r:id="rId13"/>
    <pivotCache cacheId="685" r:id="rId14"/>
    <pivotCache cacheId="688" r:id="rId15"/>
    <pivotCache cacheId="691" r:id="rId16"/>
    <pivotCache cacheId="694" r:id="rId17"/>
    <pivotCache cacheId="697" r:id="rId18"/>
    <pivotCache cacheId="700" r:id="rId19"/>
    <pivotCache cacheId="703" r:id="rId20"/>
  </pivotCaches>
  <fileRecoveryPr repairLoad="1"/>
  <extLst>
    <ext xmlns:x14="http://schemas.microsoft.com/office/spreadsheetml/2009/9/main" uri="{876F7934-8845-4945-9796-88D515C7AA90}">
      <x14:pivotCaches>
        <pivotCache cacheId="19"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 i="5" l="1"/>
  <c r="M4" i="5" a="1"/>
  <c r="L1003" i="2"/>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C54" i="6"/>
  <c r="K33" i="6" s="1"/>
  <c r="K36" i="6" s="1"/>
  <c r="K41" i="6" s="1"/>
  <c r="H22" i="5" s="1"/>
  <c r="K43" i="6"/>
  <c r="G16" i="5" s="1"/>
  <c r="E34" i="6" a="1"/>
  <c r="K32" i="6"/>
  <c r="K40" i="6" s="1"/>
  <c r="H21" i="5" s="1"/>
  <c r="H38" i="6" l="1"/>
  <c r="H35" i="6"/>
  <c r="K34" i="6"/>
  <c r="K37" i="6" s="1"/>
  <c r="K42" i="6" s="1"/>
  <c r="H23" i="5" s="1"/>
  <c r="H36" i="6"/>
  <c r="H37" i="6"/>
  <c r="E34" i="6"/>
  <c r="H34"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F02994-882F-4818-B40F-5062019601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1DE3163-A914-4939-AC84-ECD49729A82C}"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BFAB6683-EFEF-444C-A14C-2C0F00D20617}"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<sst xmlns="http://schemas.openxmlformats.org/spreadsheetml/2006/main" count="3200" uniqueCount="1081">
  <si>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</si>
  <si>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</si>
  <si>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</si>
  <si>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</si>
  <si>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</si>
  <si>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</si>
  <si>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</si>
  <si>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</si>
  <si>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</si>
  <si>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</si>
  <si>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</si>
  <si>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</si>
  <si>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</si>
  <si>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</si>
  <si>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</si>
  <si>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</si>
  <si>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</si>
  <si>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</si>
  <si>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</si>
  <si>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</si>
  <si>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</si>
  <si>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</si>
  <si>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</si>
  <si>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</si>
  <si>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</si>
  <si>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</si>
  <si>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</si>
  <si>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</si>
  <si>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</si>
  <si>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</si>
  <si>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</si>
  <si>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</si>
  <si>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</si>
  <si>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</si>
  <si>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</si>
  <si>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</si>
  <si>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</si>
  <si>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</si>
  <si>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</si>
  <si>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</si>
  <si>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</si>
  <si>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</si>
  <si>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</si>
  <si>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</si>
  <si>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</si>
  <si>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</si>
  <si>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</si>
  <si>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</si>
  <si>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</si>
  <si>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</si>
  <si>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</si>
  <si>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</si>
  <si>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</si>
  <si>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</si>
  <si>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</si>
  <si>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</si>
  <si>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</si>
  <si>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</si>
  <si>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</si>
  <si>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</si>
  <si>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</si>
  <si>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</si>
  <si>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</si>
  <si>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</si>
  <si>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</si>
  <si>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</si>
  <si>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</si>
  <si>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</si>
  <si>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</si>
  <si>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</si>
  <si>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</si>
  <si>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</si>
  <si>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</si>
  <si>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</si>
  <si>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</si>
  <si>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</si>
  <si>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</si>
  <si>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</si>
  <si>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</si>
  <si>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</si>
  <si>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</si>
  <si>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</si>
  <si>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</si>
  <si>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</si>
  <si>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</si>
  <si>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</si>
  <si>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</si>
  <si>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</si>
  <si>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</si>
  <si>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</si>
  <si>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</si>
  <si>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</si>
  <si>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</si>
  <si>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</si>
  <si>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</si>
  <si>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</si>
  <si>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</si>
  <si>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</si>
  <si>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</si>
  <si>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</si>
  <si>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</si>
  <si>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</si>
  <si>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</si>
  <si>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</si>
  <si>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</si>
  <si>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</si>
  <si>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</si>
  <si>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</si>
  <si>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</si>
  <si>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</si>
  <si>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</si>
  <si>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</si>
  <si>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</si>
  <si>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</si>
  <si>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</si>
  <si>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</si>
  <si>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</si>
  <si>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</si>
  <si>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</si>
  <si>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</si>
  <si>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</si>
  <si>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</si>
  <si>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</si>
  <si>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</si>
  <si>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</si>
  <si>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</si>
  <si>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</si>
  <si>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</si>
  <si>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</si>
  <si>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</si>
  <si>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</si>
  <si>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</si>
  <si>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</si>
  <si>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</si>
  <si>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</si>
  <si>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</si>
  <si>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</si>
  <si>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</si>
  <si>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</si>
  <si>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</si>
  <si>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</si>
  <si>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</si>
  <si>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</si>
  <si>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</si>
  <si>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</si>
  <si>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</si>
  <si>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</si>
  <si>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</si>
  <si>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</si>
  <si>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</si>
  <si>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</si>
  <si>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</si>
  <si>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</si>
  <si>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</si>
  <si>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</si>
  <si>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</si>
  <si>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</si>
  <si>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</si>
  <si>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</si>
  <si>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</si>
  <si>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</si>
  <si>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</si>
  <si>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</si>
  <si>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</si>
  <si>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</si>
  <si>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</si>
  <si>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</si>
  <si>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</si>
  <si>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</si>
  <si>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</si>
  <si>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</si>
  <si>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</si>
  <si>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</si>
  <si>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</si>
  <si>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</si>
  <si>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</si>
  <si>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</si>
  <si>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</si>
  <si>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</si>
  <si>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</si>
  <si>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</si>
  <si>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</si>
  <si>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</si>
  <si>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</si>
  <si>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</si>
  <si>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</si>
  <si>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</si>
  <si>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</si>
  <si>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</si>
  <si>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</si>
  <si>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</si>
  <si>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</si>
  <si>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</si>
  <si>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</si>
  <si>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</si>
  <si>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</si>
  <si>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</si>
  <si>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</si>
  <si>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</si>
  <si>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</si>
  <si>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</si>
  <si>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</si>
  <si>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</si>
  <si>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</si>
  <si>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</si>
  <si>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</si>
  <si>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</si>
  <si>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</si>
  <si>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</si>
  <si>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</si>
  <si>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</si>
  <si>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</si>
  <si>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</si>
  <si>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</si>
  <si>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</si>
  <si>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</si>
  <si>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</si>
  <si>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</si>
  <si>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</si>
  <si>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</si>
  <si>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</si>
  <si>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</si>
  <si>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</si>
  <si>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</si>
  <si>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</si>
  <si>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</si>
  <si>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</si>
  <si>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</si>
  <si>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</si>
  <si>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</si>
  <si>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</si>
  <si>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</si>
  <si>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</si>
  <si>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</si>
  <si>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</si>
  <si>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</si>
  <si>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</si>
  <si>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</si>
  <si>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</si>
  <si>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</si>
  <si>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</si>
  <si>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</si>
  <si>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</si>
  <si>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</si>
  <si>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</si>
  <si>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</si>
  <si>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</si>
  <si>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</si>
  <si>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</si>
  <si>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</si>
  <si>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</si>
  <si>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</si>
  <si>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</si>
  <si>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</si>
  <si>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</si>
  <si>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</si>
  <si>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</si>
  <si>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</si>
  <si>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</si>
  <si>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</si>
  <si>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</si>
  <si>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</si>
  <si>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</si>
  <si>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</si>
  <si>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</si>
  <si>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</si>
  <si>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</si>
  <si>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</si>
  <si>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</si>
  <si>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</si>
  <si>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</si>
  <si>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</si>
  <si>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</si>
  <si>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</si>
  <si>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</si>
  <si>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</si>
  <si>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</si>
  <si>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</si>
  <si>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</si>
  <si>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</si>
  <si>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</si>
  <si>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</si>
  <si>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</si>
  <si>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</si>
  <si>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</si>
  <si>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</si>
  <si>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</si>
  <si>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</si>
  <si>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</si>
  <si>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</si>
  <si>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</si>
  <si>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</si>
  <si>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</si>
  <si>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</si>
  <si>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</si>
  <si>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</si>
  <si>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</si>
  <si>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</si>
  <si>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</si>
  <si>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</si>
  <si>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</si>
  <si>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</si>
  <si>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</si>
  <si>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</si>
  <si>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</si>
  <si>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</si>
  <si>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</si>
  <si>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</si>
  <si>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</si>
  <si>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</si>
  <si>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</si>
  <si>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</si>
  <si>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</si>
  <si>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</si>
  <si>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</si>
  <si>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</si>
  <si>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</si>
  <si>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</si>
  <si>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</si>
  <si>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</si>
  <si>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</si>
  <si>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</si>
  <si>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</si>
  <si>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</si>
  <si>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</si>
  <si>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</si>
  <si>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</si>
  <si>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</si>
  <si>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</si>
  <si>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</si>
  <si>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</si>
  <si>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</si>
  <si>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</si>
  <si>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</si>
  <si>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</si>
  <si>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</si>
  <si>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</si>
  <si>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</si>
  <si>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</si>
  <si>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</si>
  <si>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</si>
  <si>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</si>
  <si>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</si>
  <si>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</si>
  <si>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</si>
  <si>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</si>
  <si>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</si>
  <si>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</si>
  <si>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</si>
  <si>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</si>
  <si>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</si>
  <si>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</si>
  <si>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</si>
  <si>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</si>
  <si>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</si>
  <si>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</si>
  <si>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</si>
  <si>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</si>
  <si>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</si>
  <si>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</si>
  <si>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</si>
  <si>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</si>
  <si>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</si>
  <si>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</si>
  <si>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</si>
  <si>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</si>
  <si>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</si>
  <si>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</si>
  <si>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</si>
  <si>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</si>
  <si>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</si>
  <si>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</si>
  <si>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</si>
  <si>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</si>
  <si>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</si>
  <si>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</si>
  <si>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</si>
  <si>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</si>
  <si>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</si>
  <si>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</si>
  <si>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</si>
  <si>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</si>
  <si>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</si>
  <si>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</si>
  <si>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</si>
  <si>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</si>
  <si>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</si>
  <si>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</si>
  <si>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</si>
  <si>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</si>
  <si>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</si>
  <si>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</si>
  <si>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</si>
  <si>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</si>
  <si>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</si>
  <si>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</si>
  <si>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</si>
  <si>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</si>
  <si>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</si>
  <si>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</si>
  <si>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</si>
  <si>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</si>
  <si>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</si>
  <si>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</si>
  <si>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</si>
  <si>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</si>
  <si>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</si>
  <si>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</si>
  <si>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</si>
  <si>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</si>
  <si>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</si>
  <si>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</si>
  <si>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</si>
  <si>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</si>
  <si>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</si>
  <si>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</si>
  <si>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</si>
  <si>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</si>
  <si>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</si>
  <si>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</si>
  <si>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</si>
  <si>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</si>
  <si>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</si>
  <si>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</si>
  <si>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</si>
  <si>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</si>
  <si>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</si>
  <si>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</si>
  <si>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</si>
  <si>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</si>
  <si>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</si>
  <si>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</si>
  <si>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</si>
  <si>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</si>
  <si>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</si>
  <si>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</si>
  <si>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</si>
  <si>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</si>
  <si>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</si>
  <si>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</si>
  <si>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</si>
  <si>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</si>
  <si>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</si>
  <si>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</si>
  <si>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</si>
  <si>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</si>
  <si>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</si>
  <si>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</si>
  <si>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</si>
  <si>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</si>
  <si>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</si>
  <si>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</si>
  <si>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</si>
  <si>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</si>
  <si>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</si>
  <si>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</si>
  <si>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</si>
  <si>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</si>
  <si>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</si>
  <si>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</si>
  <si>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</si>
  <si>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</si>
  <si>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</si>
  <si>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</si>
  <si>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</si>
  <si>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</si>
  <si>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</si>
  <si>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</si>
  <si>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</si>
  <si>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</si>
  <si>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</si>
  <si>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</si>
  <si>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</si>
  <si>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</si>
  <si>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</si>
  <si>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</si>
  <si>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</si>
  <si>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</si>
  <si>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</si>
  <si>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</si>
  <si>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</si>
  <si>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</si>
  <si>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</si>
  <si>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</si>
  <si>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</si>
  <si>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</si>
  <si>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</si>
  <si>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</si>
  <si>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</si>
  <si>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</si>
  <si>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</si>
  <si>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</si>
  <si>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</si>
  <si>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</si>
  <si>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</si>
  <si>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</si>
  <si>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</si>
  <si>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</si>
  <si>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</si>
  <si>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</si>
  <si>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</si>
  <si>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</si>
  <si>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</si>
  <si>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</si>
  <si>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</si>
  <si>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</si>
  <si>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</si>
  <si>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</si>
  <si>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</si>
  <si>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</si>
  <si>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</si>
  <si>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</si>
  <si>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</si>
  <si>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</si>
  <si>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</si>
  <si>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</si>
  <si>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</si>
  <si>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</si>
  <si>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</si>
  <si>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</si>
  <si>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</si>
  <si>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</si>
  <si>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</si>
  <si>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</si>
  <si>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</si>
  <si>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</si>
  <si>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</si>
  <si>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</si>
  <si>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</si>
  <si>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</si>
  <si>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</si>
  <si>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</si>
  <si>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</si>
  <si>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</si>
  <si>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</si>
  <si>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</si>
  <si>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</si>
  <si>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</si>
  <si>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</si>
  <si>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</si>
  <si>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</si>
  <si>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</si>
  <si>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</si>
  <si>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</si>
  <si>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</si>
  <si>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</si>
  <si>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</si>
  <si>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</si>
  <si>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</si>
  <si>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</si>
  <si>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</si>
  <si>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</si>
  <si>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</si>
  <si>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</si>
  <si>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</si>
  <si>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</si>
  <si>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</si>
  <si>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</si>
  <si>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</si>
  <si>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</si>
  <si>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</si>
  <si>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</si>
  <si>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</si>
  <si>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</si>
  <si>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</si>
  <si>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</si>
  <si>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</si>
  <si>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</si>
  <si>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</si>
  <si>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</si>
  <si>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</si>
  <si>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</si>
  <si>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</si>
  <si>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</si>
  <si>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</si>
  <si>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</si>
  <si>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</si>
  <si>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</si>
  <si>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</si>
  <si>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</si>
  <si>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</si>
  <si>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</si>
  <si>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</si>
  <si>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</si>
  <si>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</si>
  <si>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</si>
  <si>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</si>
  <si>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</si>
  <si>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</si>
  <si>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</si>
  <si>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</si>
  <si>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</si>
  <si>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</si>
  <si>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</si>
  <si>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</si>
  <si>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</si>
  <si>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</si>
  <si>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</si>
  <si>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</si>
  <si>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</si>
  <si>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</si>
  <si>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</si>
  <si>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</si>
  <si>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</si>
  <si>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</si>
  <si>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</si>
  <si>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</si>
  <si>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</si>
  <si>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</si>
  <si>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</si>
  <si>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</si>
  <si>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</si>
  <si>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</si>
  <si>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</si>
  <si>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</si>
  <si>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</si>
  <si>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</si>
  <si>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</si>
  <si>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</si>
  <si>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</si>
  <si>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</si>
  <si>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</si>
  <si>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</si>
  <si>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</si>
  <si>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</si>
  <si>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</si>
  <si>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</si>
  <si>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</si>
  <si>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</si>
  <si>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</si>
  <si>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</si>
  <si>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</si>
  <si>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</si>
  <si>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</si>
  <si>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</si>
  <si>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</si>
  <si>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</si>
  <si>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</si>
  <si>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</si>
  <si>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</si>
  <si>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</si>
  <si>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</si>
  <si>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</si>
  <si>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</si>
  <si>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</si>
  <si>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</si>
  <si>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</si>
  <si>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</si>
  <si>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</si>
  <si>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</si>
  <si>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</si>
  <si>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</si>
  <si>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</si>
  <si>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</si>
  <si>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</si>
  <si>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</si>
  <si>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</si>
  <si>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</si>
  <si>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</si>
  <si>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</si>
  <si>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</si>
  <si>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</si>
  <si>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</si>
  <si>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</si>
  <si>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</si>
  <si>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</si>
  <si>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</si>
  <si>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</si>
  <si>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</si>
  <si>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</si>
  <si>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</si>
  <si>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</si>
  <si>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</si>
  <si>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</si>
  <si>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</si>
  <si>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</si>
  <si>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</si>
  <si>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</si>
  <si>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</si>
  <si>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</si>
  <si>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</si>
  <si>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</si>
  <si>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</si>
  <si>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</si>
  <si>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</si>
  <si>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</si>
  <si>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</si>
  <si>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</si>
  <si>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</si>
  <si>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</si>
  <si>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</si>
  <si>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</si>
  <si>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</si>
  <si>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</si>
  <si>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</si>
  <si>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</si>
  <si>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</si>
  <si>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</si>
  <si>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</si>
  <si>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</si>
  <si>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</si>
  <si>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</si>
  <si>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</si>
  <si>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</si>
  <si>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</si>
  <si>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</si>
  <si>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</si>
  <si>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</si>
  <si>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</si>
  <si>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</si>
  <si>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</si>
  <si>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</si>
  <si>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</si>
  <si>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</si>
  <si>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</si>
  <si>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</si>
  <si>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</si>
  <si>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</si>
  <si>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</si>
  <si>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</si>
  <si>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</si>
  <si>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</si>
  <si>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</si>
  <si>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</si>
  <si>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</si>
  <si>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</si>
  <si>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</si>
  <si>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</si>
  <si>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</si>
  <si>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</si>
  <si>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</si>
  <si>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</si>
  <si>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</si>
  <si>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</si>
  <si>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</si>
  <si>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</si>
  <si>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</si>
  <si>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</si>
  <si>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</si>
  <si>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</si>
  <si>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</si>
  <si>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</si>
  <si>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</si>
  <si>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</si>
  <si>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</si>
  <si>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</si>
  <si>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</si>
  <si>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</si>
  <si>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</si>
  <si>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</si>
  <si>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</si>
  <si>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</si>
  <si>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</si>
  <si>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</si>
  <si>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</si>
  <si>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</si>
  <si>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</si>
  <si>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</si>
  <si>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</si>
  <si>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</si>
  <si>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</si>
  <si>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</si>
  <si>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</si>
  <si>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</si>
  <si>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</si>
  <si>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</si>
  <si>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</si>
  <si>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</si>
  <si>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</si>
  <si>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</si>
  <si>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</si>
  <si>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</si>
  <si>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</si>
  <si>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</si>
  <si>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</si>
  <si>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</si>
  <si>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</si>
  <si>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</si>
  <si>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</si>
  <si>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</si>
  <si>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</si>
  <si>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</si>
  <si>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</si>
  <si>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</si>
  <si>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</si>
  <si>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</si>
  <si>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</si>
  <si>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</si>
  <si>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</si>
  <si>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</si>
  <si>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</si>
  <si>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</si>
  <si>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</si>
  <si>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</si>
  <si>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</si>
  <si>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</si>
  <si>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</si>
  <si>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</si>
  <si>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</si>
  <si>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</si>
  <si>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</si>
  <si>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</si>
  <si>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</si>
  <si>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</si>
  <si>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</si>
  <si>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</si>
  <si>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</si>
  <si>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</si>
  <si>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</si>
  <si>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</si>
  <si>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</si>
  <si>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</si>
  <si>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</si>
  <si>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</si>
  <si>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</si>
  <si>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</si>
  <si>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</si>
  <si>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</si>
  <si>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</si>
  <si>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</si>
  <si>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</si>
  <si>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</si>
  <si>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</si>
  <si>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</si>
  <si>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</si>
  <si>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</si>
  <si>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</si>
  <si>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</si>
  <si>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</si>
  <si>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</si>
  <si>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</si>
  <si>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</si>
  <si>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</si>
  <si>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</si>
  <si>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</si>
  <si>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</si>
  <si>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</si>
  <si>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</si>
  <si>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</si>
  <si>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</si>
  <si>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</si>
  <si>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</si>
  <si>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</si>
  <si>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</si>
  <si>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</si>
  <si>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</si>
  <si>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</si>
  <si>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</si>
  <si>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</si>
  <si>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</si>
  <si>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</si>
  <si>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</si>
  <si>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</si>
  <si>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</si>
  <si>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</si>
  <si>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</si>
  <si>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</si>
  <si>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</si>
  <si>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</si>
  <si>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</si>
  <si>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</si>
  <si>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</si>
  <si>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</si>
  <si>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</si>
  <si>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</si>
  <si>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</si>
  <si>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</si>
  <si>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</si>
  <si>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</si>
  <si>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</si>
  <si>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</si>
  <si>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</si>
  <si>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</si>
  <si>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</si>
  <si>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</si>
  <si>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</si>
  <si>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</si>
  <si>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</si>
  <si>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</si>
  <si>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</si>
  <si>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</si>
  <si>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</si>
  <si>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</si>
  <si>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</si>
  <si>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</si>
  <si>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</si>
  <si>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</si>
  <si>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</si>
  <si>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</si>
  <si>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</si>
  <si>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</si>
  <si>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</si>
  <si>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</si>
  <si>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</si>
  <si>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</si>
  <si>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</si>
  <si>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</si>
  <si>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</si>
  <si>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</si>
  <si>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</si>
  <si>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</si>
  <si>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</si>
  <si>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</si>
  <si>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</si>
  <si>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</si>
  <si>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</si>
  <si>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</si>
  <si>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</si>
  <si>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</si>
  <si>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</si>
  <si>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</si>
  <si>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</si>
  <si>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</si>
  <si>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</si>
  <si>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</si>
  <si>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</si>
  <si>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</si>
  <si>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</si>
  <si>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</si>
  <si>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</si>
  <si>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</si>
  <si>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</si>
  <si>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</si>
  <si>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</si>
  <si>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</si>
  <si>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</si>
  <si>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</si>
  <si>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</si>
  <si>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</si>
  <si>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</si>
  <si>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</si>
  <si>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</si>
  <si>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</si>
  <si>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</si>
  <si>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</si>
  <si>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</si>
  <si>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</si>
  <si>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</si>
  <si>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</si>
  <si>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</si>
  <si>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</si>
  <si>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</si>
  <si>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</si>
  <si>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</si>
  <si>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</si>
  <si>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</si>
  <si>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</si>
  <si>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</si>
  <si>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</si>
  <si>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</si>
  <si>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</si>
  <si>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</si>
  <si>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</si>
  <si>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</si>
  <si>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</si>
  <si>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</si>
  <si>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</si>
  <si>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</si>
  <si>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</si>
  <si>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</si>
  <si>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</si>
  <si>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</si>
  <si>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</si>
  <si>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</si>
  <si>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</si>
  <si>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</si>
  <si>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</si>
  <si>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</si>
  <si>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</si>
  <si>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</si>
  <si>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</si>
  <si>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</si>
  <si>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</si>
  <si>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</si>
  <si>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</si>
  <si>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</si>
  <si>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</si>
  <si>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</si>
  <si>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</si>
  <si>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</si>
  <si>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</si>
  <si>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</si>
  <si>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</si>
  <si>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</si>
  <si>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</si>
  <si>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</si>
  <si>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</si>
  <si>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</si>
  <si>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</si>
  <si>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</si>
  <si>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</si>
  <si>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</si>
  <si>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</si>
  <si>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</si>
  <si>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</si>
  <si>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</si>
  <si>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</si>
  <si>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</si>
  <si>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</si>
  <si>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</si>
  <si>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</si>
  <si>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</si>
  <si>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</si>
  <si>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</si>
  <si>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</si>
  <si>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</si>
  <si>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</si>
  <si>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</si>
  <si>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</si>
  <si>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</si>
  <si>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</si>
  <si>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</si>
  <si>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</si>
  <si>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</si>
  <si>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</si>
  <si>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</si>
  <si>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</si>
  <si>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</si>
  <si>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</si>
  <si>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</si>
  <si>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</si>
  <si>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</si>
  <si>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</si>
  <si>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</si>
  <si>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</si>
  <si>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</si>
  <si>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</si>
  <si>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</si>
  <si>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</si>
  <si>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</si>
  <si>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</si>
  <si>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</si>
  <si>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</si>
  <si>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</si>
  <si>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</si>
  <si>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</si>
  <si>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</si>
  <si>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</si>
  <si>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</si>
  <si>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</si>
  <si>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</si>
  <si>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Gender</t>
  </si>
  <si>
    <t>Call Count</t>
  </si>
  <si>
    <t>Total Amount</t>
  </si>
  <si>
    <t>Total Duration</t>
  </si>
  <si>
    <t>Average Rating</t>
  </si>
  <si>
    <t>Happy Customers</t>
  </si>
  <si>
    <t>Column Labels</t>
  </si>
  <si>
    <t>Grand Total</t>
  </si>
  <si>
    <t>Jan</t>
  </si>
  <si>
    <t>Feb</t>
  </si>
  <si>
    <t>Mar</t>
  </si>
  <si>
    <t>Apr</t>
  </si>
  <si>
    <t>May</t>
  </si>
  <si>
    <t>Jun</t>
  </si>
  <si>
    <t>Jul</t>
  </si>
  <si>
    <t>Aug</t>
  </si>
  <si>
    <t>Sept</t>
  </si>
  <si>
    <t>Oct</t>
  </si>
  <si>
    <t>Nov</t>
  </si>
  <si>
    <t>Dec</t>
  </si>
  <si>
    <t>Row Labels</t>
  </si>
  <si>
    <t>Call Count2</t>
  </si>
  <si>
    <t>Friday</t>
  </si>
  <si>
    <t>Monday</t>
  </si>
  <si>
    <t>Saturday</t>
  </si>
  <si>
    <t>Sunday</t>
  </si>
  <si>
    <t>Thursday</t>
  </si>
  <si>
    <t>Tuesday</t>
  </si>
  <si>
    <t>Wednesday</t>
  </si>
  <si>
    <t>Sel Calls</t>
  </si>
  <si>
    <t>Total</t>
  </si>
  <si>
    <t>REP Summary</t>
  </si>
  <si>
    <t>% of Calls</t>
  </si>
  <si>
    <t>Call Rank</t>
  </si>
  <si>
    <t>Amount Rank</t>
  </si>
  <si>
    <t>Calls</t>
  </si>
  <si>
    <t>Amount</t>
  </si>
  <si>
    <t>Labels:</t>
  </si>
  <si>
    <t>Image:</t>
  </si>
  <si>
    <t>The Call Center Representatives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</si>
</sst>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
    <numFmt numFmtId="166" formatCode="0.0"/>
    <numFmt numFmtId="167" formatCode="&quot;$&quot;#,##0"/>
  </numFmts>
  <fonts count="8" x14ac:knownFonts="1">
    <font>
      <sz val="11"/>
      <color theme="1"/>
      <name val="Arial"/>
      <family val="2"/>
      <scheme val="minor"/>
    </font>
    <font>
      <b/>
      <sz val="11"/>
      <color theme="1"/>
      <name val="Arial"/>
      <family val="2"/>
      <scheme val="minor"/>
    </font>
    <font>
      <sz val="8"/>
      <name val="Arial"/>
      <family val="2"/>
      <scheme val="minor"/>
    </font>
    <font>
      <sz val="18"/>
      <color theme="1"/>
      <name val="Aptos ExtraBold"/>
      <family val="2"/>
    </font>
    <font>
      <b/>
      <sz val="14"/>
      <color theme="1"/>
      <name val="Arial"/>
      <family val="2"/>
      <scheme val="minor"/>
    </font>
    <font>
      <b/>
      <u/>
      <sz val="14"/>
      <color theme="1"/>
      <name val="Arial"/>
      <family val="2"/>
      <scheme val="minor"/>
    </font>
    <font>
      <u/>
      <sz val="14"/>
      <color theme="1"/>
      <name val="Arial"/>
      <family val="2"/>
      <scheme val="minor"/>
    </font>
    <font>
      <sz val="10"/>
      <color theme="1"/>
      <name val="Amasis MT Pro Black"/>
      <family val="1"/>
    </font>
  </fonts>
  <fills count="5">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0" tint="-0.14999847407452621"/>
        <bgColor theme="4" tint="0.79998168889431442"/>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0" tint="-0.249977111117893"/>
      </bottom>
      <diagonal/>
    </border>
    <border>
      <left style="medium">
        <color theme="0" tint="-0.249977111117893"/>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right/>
      <top style="medium">
        <color theme="0" tint="-0.249977111117893"/>
      </top>
      <bottom style="thin">
        <color theme="4" tint="0.39997558519241921"/>
      </bottom>
      <diagonal/>
    </border>
    <border>
      <left/>
      <right style="medium">
        <color theme="0" tint="-0.249977111117893"/>
      </right>
      <top style="medium">
        <color theme="0" tint="-0.249977111117893"/>
      </top>
      <bottom style="thin">
        <color theme="4" tint="0.39997558519241921"/>
      </bottom>
      <diagonal/>
    </border>
  </borders>
  <cellStyleXfs count="1">
    <xf numFmtId="0" fontId="0" fillId="0" borderId="0"/>
  </cellStyleXfs>
  <cellXfs count="4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10" xfId="0" applyFill="1" applyBorder="1"/>
    <xf numFmtId="0" fontId="0" fillId="3" borderId="11" xfId="0" applyFill="1" applyBorder="1"/>
    <xf numFmtId="0" fontId="1" fillId="4" borderId="17" xfId="0" applyFont="1" applyFill="1" applyBorder="1" applyAlignment="1">
      <alignment horizontal="right"/>
    </xf>
    <xf numFmtId="0" fontId="1" fillId="4" borderId="18" xfId="0" applyFont="1" applyFill="1" applyBorder="1" applyAlignment="1">
      <alignment horizontal="right"/>
    </xf>
    <xf numFmtId="10" fontId="0" fillId="0" borderId="0" xfId="0" applyNumberFormat="1"/>
    <xf numFmtId="0" fontId="4" fillId="3" borderId="0" xfId="0" applyFont="1" applyFill="1" applyAlignment="1">
      <alignment horizontal="center"/>
    </xf>
    <xf numFmtId="0" fontId="5" fillId="3" borderId="0" xfId="0" applyFont="1" applyFill="1" applyAlignment="1">
      <alignment horizontal="left"/>
    </xf>
    <xf numFmtId="0" fontId="6" fillId="3" borderId="0" xfId="0" applyFont="1" applyFill="1" applyAlignment="1">
      <alignment horizontal="left"/>
    </xf>
    <xf numFmtId="0" fontId="0" fillId="3" borderId="0" xfId="0" applyFill="1" applyAlignment="1">
      <alignment horizontal="center"/>
    </xf>
    <xf numFmtId="0" fontId="0" fillId="3" borderId="13" xfId="0" applyFill="1" applyBorder="1" applyAlignment="1">
      <alignment horizontal="center"/>
    </xf>
    <xf numFmtId="167" fontId="7" fillId="3" borderId="12" xfId="0" applyNumberFormat="1" applyFont="1" applyFill="1" applyBorder="1" applyAlignment="1">
      <alignment horizontal="center"/>
    </xf>
    <xf numFmtId="167" fontId="7" fillId="3" borderId="0" xfId="0" applyNumberFormat="1" applyFont="1" applyFill="1"/>
    <xf numFmtId="167" fontId="7" fillId="3" borderId="13" xfId="0" applyNumberFormat="1" applyFont="1" applyFill="1" applyBorder="1"/>
    <xf numFmtId="167" fontId="7" fillId="3" borderId="14" xfId="0" applyNumberFormat="1" applyFont="1" applyFill="1" applyBorder="1" applyAlignment="1">
      <alignment horizontal="center"/>
    </xf>
    <xf numFmtId="167" fontId="7" fillId="3" borderId="15" xfId="0" applyNumberFormat="1" applyFont="1" applyFill="1" applyBorder="1"/>
    <xf numFmtId="167" fontId="7" fillId="3" borderId="16" xfId="0" applyNumberFormat="1" applyFont="1" applyFill="1" applyBorder="1"/>
  </cellXfs>
  <cellStyles count="1">
    <cellStyle name="Normal" xfId="0" builtinId="0"/>
  </cellStyles>
  <dxfs count="16">
    <dxf>
      <fill>
        <patternFill>
          <bgColor rgb="FFFFC000"/>
        </patternFill>
      </fill>
      <border>
        <left style="dashDotDot">
          <color auto="1"/>
        </left>
        <right style="dashDotDot">
          <color auto="1"/>
        </right>
        <top style="dashDotDot">
          <color auto="1"/>
        </top>
        <bottom style="dashDotDot">
          <color auto="1"/>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6" defaultTableStyle="TableStyleMedium2" defaultPivotStyle="PivotStyleLight16">
    <tableStyle name="Slicer Style 1" pivot="0" table="0" count="1" xr9:uid="{25BABDA2-DB3D-41F6-98D0-3EE7CBB0176F}">
      <tableStyleElement type="wholeTable" dxfId="15"/>
    </tableStyle>
    <tableStyle name="Slicer Style 2" pivot="0" table="0" count="1" xr9:uid="{F265C7A6-0F6A-45FE-9D51-8BB6FB99D1FF}"/>
    <tableStyle name="Slicer Style 3" pivot="0" table="0" count="1" xr9:uid="{6BAB2FFB-2619-4084-AC81-A051AC2643B9}"/>
    <tableStyle name="Slicer Style 4" pivot="0" table="0" count="1" xr9:uid="{D183ACD6-D7CB-4FA8-B075-9F85CC4AA78A}"/>
    <tableStyle name="Slicer Style 5" pivot="0" table="0" count="1" xr9:uid="{7C8B670A-D87A-400C-BDB6-798D96584DF8}"/>
    <tableStyle name="Slicer Style 6" pivot="0" table="0" count="2" xr9:uid="{AEC23DFC-3156-42D8-A68C-D92AA4054C98}"/>
  </tableStyles>
  <colors>
    <mruColors>
      <color rgb="FFFFD54F"/>
      <color rgb="FFFFFFCC"/>
    </mruColors>
  </colors>
  <extLst>
    <ext xmlns:x14="http://schemas.microsoft.com/office/spreadsheetml/2009/9/main" uri="{46F421CA-312F-682f-3DD2-61675219B42D}">
      <x14:dxfs count="6">
        <dxf>
          <font>
            <b/>
            <i val="0"/>
          </font>
          <fill>
            <patternFill>
              <bgColor theme="8" tint="-0.24994659260841701"/>
            </patternFill>
          </fill>
        </dxf>
        <dxf>
          <fill>
            <patternFill>
              <bgColor theme="0" tint="-0.14996795556505021"/>
            </patternFill>
          </fill>
        </dxf>
        <dxf>
          <fill>
            <patternFill>
              <bgColor theme="0" tint="-0.34998626667073579"/>
            </patternFill>
          </fill>
        </dxf>
        <dxf>
          <font>
            <color rgb="FFFFFFCC"/>
          </font>
          <fill>
            <patternFill>
              <bgColor rgb="FFFFFF00"/>
            </patternFill>
          </fill>
        </dxf>
        <dxf>
          <font>
            <color rgb="FFFFFFCC"/>
          </font>
        </dxf>
        <dxf>
          <font>
            <b/>
            <i val="0"/>
            <color theme="0" tint="-0.499984740745262"/>
          </font>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5"/>
          </x14:slicerStyleElements>
        </x14:slicerStyle>
        <x14:slicerStyle name="Slicer Style 3">
          <x14:slicerStyleElements>
            <x14:slicerStyleElement type="unselectedItemWithData" dxfId="4"/>
          </x14:slicerStyleElements>
        </x14:slicerStyle>
        <x14:slicerStyle name="Slicer Style 4">
          <x14:slicerStyleElements>
            <x14:slicerStyleElement type="unselectedItemWithData" dxfId="3"/>
          </x14:slicerStyleElements>
        </x14:slicerStyle>
        <x14:slicerStyle name="Slicer Style 5">
          <x14:slicerStyleElements>
            <x14:slicerStyleElement type="hoveredSelectedItemWithData" dxfId="2"/>
          </x14:slicerStyleElements>
        </x14:slicerStyle>
        <x14:slicerStyle name="Slicer Style 6">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7.xml"/><Relationship Id="rId34" Type="http://schemas.openxmlformats.org/officeDocument/2006/relationships/customXml" Target="../customXml/item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32"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1.xml"/><Relationship Id="rId27" Type="http://schemas.openxmlformats.org/officeDocument/2006/relationships/sheetMetadata" Target="metadata.xml"/><Relationship Id="rId30" Type="http://schemas.microsoft.com/office/2017/06/relationships/rdRichValueStructure" Target="richData/rdrichvaluestructure.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[My_Excel_Call_Center_Data_Final.xlsx]Pivot Tables!Calls Trend By Month</c:name>
    <c:fmtId val="10"/>
  </c:pivotSource>
  <c:chart>
    <c:title>
      <c:tx>
        <c:rich>
          <a:bodyPr rot="0" spcFirstLastPara="1" vertOverflow="ellipsis" vert="horz" wrap="square" anchor="ctr" anchorCtr="1"/>
          <a:lstStyle/>
          <a:p>
            <a:pPr>
              <a:defRPr lang="en-US" sz="1320" b="1" i="0" u="none" strike="noStrike" kern="1200" spc="0" baseline="0">
                <a:solidFill>
                  <a:sysClr val="windowText" lastClr="000000"/>
                </a:solidFill>
                <a:latin typeface="Aptos ExtraBold" panose="020B0004020202020204" pitchFamily="34" charset="0"/>
                <a:ea typeface="+mn-ea"/>
                <a:cs typeface="+mn-cs"/>
              </a:defRPr>
            </a:pPr>
            <a:r>
              <a:rPr lang="en-NZ"/>
              <a:t>Calls Trend By Months</a:t>
            </a:r>
          </a:p>
        </c:rich>
      </c:tx>
      <c:overlay val="0"/>
      <c:spPr>
        <a:solidFill>
          <a:sysClr val="window" lastClr="FFFFFF"/>
        </a:solidFill>
        <a:ln>
          <a:noFill/>
        </a:ln>
        <a:effectLst/>
      </c:spPr>
      <c:txPr>
        <a:bodyPr rot="0" spcFirstLastPara="1" vertOverflow="ellipsis" vert="horz" wrap="square" anchor="ctr" anchorCtr="1"/>
        <a:lstStyle/>
        <a:p>
          <a:pPr>
            <a:defRPr lang="en-US" sz="1320" b="1" i="0" u="none" strike="noStrike" kern="1200" spc="0" baseline="0">
              <a:solidFill>
                <a:sysClr val="windowText" lastClr="000000"/>
              </a:solidFill>
              <a:latin typeface="Aptos ExtraBold"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solidFill>
              <a:schemeClr val="bg2">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spc="0" baseline="0">
                  <a:solidFill>
                    <a:sysClr val="windowText" lastClr="000000"/>
                  </a:solidFill>
                  <a:latin typeface="Aptos ExtraBold"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44450" cap="rnd" cmpd="sng">
            <a:solidFill>
              <a:schemeClr val="accent5">
                <a:lumMod val="60000"/>
                <a:lumOff val="40000"/>
              </a:schemeClr>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anchor="ctr" anchorCtr="1"/>
            <a:lstStyle/>
            <a:p>
              <a:pPr>
                <a:defRPr lang="en-US" sz="1100" b="1" i="0" u="none" strike="noStrike" kern="1200" spc="0" baseline="0">
                  <a:solidFill>
                    <a:sysClr val="windowText" lastClr="000000"/>
                  </a:solidFill>
                  <a:latin typeface="Aptos ExtraBold"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238845144356954E-2"/>
          <c:y val="0.11588018280931667"/>
          <c:w val="0.88818022747156611"/>
          <c:h val="0.73111111111111116"/>
        </c:manualLayout>
      </c:layout>
      <c:areaChart>
        <c:grouping val="standard"/>
        <c:varyColors val="0"/>
        <c:ser>
          <c:idx val="1"/>
          <c:order val="1"/>
          <c:tx>
            <c:strRef>
              <c:f>'Pivot Tables'!$C$21</c:f>
              <c:strCache>
                <c:ptCount val="1"/>
                <c:pt idx="0">
                  <c:v>Call Count2</c:v>
                </c:pt>
              </c:strCache>
            </c:strRef>
          </c:tx>
          <c:spPr>
            <a:solidFill>
              <a:srgbClr val="FFC000"/>
            </a:solidFill>
            <a:ln>
              <a:solidFill>
                <a:schemeClr val="bg2">
                  <a:lumMod val="75000"/>
                </a:schemeClr>
              </a:solidFill>
            </a:ln>
            <a:effectLst/>
          </c:spPr>
          <c:cat>
            <c:strRef>
              <c:f>'Pivot Tables'!$A$22:$A$34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Tables'!$C$22:$C$34</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3151-4AC0-B963-6DE15EBC19FF}"/>
            </c:ext>
          </c:extLst>
        </c:ser>
        <c:dLbls>
          <c:showLegendKey val="0"/>
          <c:showVal val="0"/>
          <c:showCatName val="0"/>
          <c:showSerName val="0"/>
          <c:showPercent val="0"/>
          <c:showBubbleSize val="0"/>
        </c:dLbls>
        <c:axId val="1368417647"/>
        <c:axId val="1043721168"/>
      </c:areaChart>
      <c:lineChart>
        <c:grouping val="standard"/>
        <c:varyColors val="0"/>
        <c:ser>
          <c:idx val="0"/>
          <c:order val="0"/>
          <c:tx>
            <c:strRef>
              <c:f>'Pivot Tables'!$B$21</c:f>
              <c:strCache>
                <c:ptCount val="1"/>
                <c:pt idx="0">
                  <c:v>Call Count</c:v>
                </c:pt>
              </c:strCache>
            </c:strRef>
          </c:tx>
          <c:spPr>
            <a:ln w="44450" cap="rnd" cmpd="sng">
              <a:solidFill>
                <a:schemeClr val="accent5">
                  <a:lumMod val="60000"/>
                  <a:lumOff val="40000"/>
                </a:schemeClr>
              </a:solidFill>
              <a:round/>
            </a:ln>
            <a:effectLst/>
          </c:spPr>
          <c:marker>
            <c:symbol val="circle"/>
            <c:size val="5"/>
            <c:spPr>
              <a:solidFill>
                <a:schemeClr val="bg1"/>
              </a:solidFill>
              <a:ln w="9525">
                <a:solidFill>
                  <a:schemeClr val="tx1"/>
                </a:solidFill>
              </a:ln>
              <a:effectLst/>
            </c:spPr>
          </c:marker>
          <c:cat>
            <c:strRef>
              <c:f>'Pivot Tables'!$A$22:$A$34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Tables'!$B$22:$B$34</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3151-4AC0-B963-6DE15EBC19FF}"/>
            </c:ext>
          </c:extLst>
        </c:ser>
        <c:dLbls>
          <c:showLegendKey val="0"/>
          <c:showVal val="0"/>
          <c:showCatName val="0"/>
          <c:showSerName val="0"/>
          <c:showPercent val="0"/>
          <c:showBubbleSize val="0"/>
        </c:dLbls>
        <c:marker val="1"/>
        <c:smooth val="0"/>
        <c:axId val="1368417647"/>
        <c:axId val="1043721168"/>
      </c:lineChart>
      <c:catAx>
        <c:axId val="1368417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lgn="ctr">
              <a:defRPr lang="en-US" sz="700" b="1" i="0" u="none" strike="noStrike" kern="1200" cap="all" spc="0" baseline="0">
                <a:solidFill>
                  <a:schemeClr val="dk1">
                    <a:lumMod val="75000"/>
                    <a:lumOff val="25000"/>
                  </a:schemeClr>
                </a:solidFill>
                <a:latin typeface="Amasis MT Pro Black" panose="02040A04050005020304" pitchFamily="18" charset="0"/>
                <a:ea typeface="+mn-ea"/>
                <a:cs typeface="+mn-cs"/>
              </a:defRPr>
            </a:pPr>
            <a:endParaRPr lang="en-US"/>
          </a:p>
        </c:txPr>
        <c:crossAx val="1043721168"/>
        <c:crosses val="autoZero"/>
        <c:auto val="1"/>
        <c:lblAlgn val="ctr"/>
        <c:lblOffset val="100"/>
        <c:noMultiLvlLbl val="0"/>
      </c:catAx>
      <c:valAx>
        <c:axId val="104372116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spc="0" baseline="0">
                <a:solidFill>
                  <a:sysClr val="windowText" lastClr="000000"/>
                </a:solidFill>
                <a:latin typeface="Aptos ExtraBold" panose="020B0004020202020204" pitchFamily="34" charset="0"/>
                <a:ea typeface="+mn-ea"/>
                <a:cs typeface="+mn-cs"/>
              </a:defRPr>
            </a:pPr>
            <a:endParaRPr lang="en-US"/>
          </a:p>
        </c:txPr>
        <c:crossAx val="136841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100" b="1" i="0" u="none" strike="noStrike" kern="1200" spc="0" baseline="0">
          <a:solidFill>
            <a:sysClr val="windowText" lastClr="000000"/>
          </a:solidFill>
          <a:latin typeface="Aptos ExtraBold" panose="020B00040202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[My_Excel_Call_Center_Data_Final.xlsx]Pivot Tables!Weekly Trend</c:name>
    <c:fmtId val="14"/>
  </c:pivotSource>
  <c:chart>
    <c:title>
      <c:tx>
        <c:rich>
          <a:bodyPr rot="0" spcFirstLastPara="1" vertOverflow="ellipsis" vert="horz" wrap="square" anchor="ctr" anchorCtr="1"/>
          <a:lstStyle/>
          <a:p>
            <a:pPr algn="ctr" rtl="0">
              <a:defRPr lang="en-NZ" sz="1100" b="1" i="0" u="none" strike="noStrike" kern="1200" spc="0" baseline="0">
                <a:solidFill>
                  <a:sysClr val="windowText" lastClr="000000"/>
                </a:solidFill>
                <a:latin typeface="Aptos ExtraBold" panose="020B0004020202020204" pitchFamily="34" charset="0"/>
                <a:ea typeface="+mn-ea"/>
                <a:cs typeface="+mn-cs"/>
              </a:defRPr>
            </a:pPr>
            <a:r>
              <a:rPr lang="en-NZ" sz="1100" b="1" i="0" u="none" strike="noStrike" kern="1200" spc="0" baseline="0">
                <a:solidFill>
                  <a:sysClr val="windowText" lastClr="000000"/>
                </a:solidFill>
                <a:latin typeface="Aptos ExtraBold" panose="020B0004020202020204" pitchFamily="34" charset="0"/>
                <a:ea typeface="+mn-ea"/>
                <a:cs typeface="+mn-cs"/>
              </a:rPr>
              <a:t>Call Trends By Week-Days</a:t>
            </a:r>
          </a:p>
        </c:rich>
      </c:tx>
      <c:layout>
        <c:manualLayout>
          <c:xMode val="edge"/>
          <c:yMode val="edge"/>
          <c:x val="3.4788737345331847E-2"/>
          <c:y val="2.8129419146028307E-2"/>
        </c:manualLayout>
      </c:layout>
      <c:overlay val="0"/>
      <c:spPr>
        <a:noFill/>
        <a:ln>
          <a:noFill/>
        </a:ln>
        <a:effectLst/>
      </c:spPr>
      <c:txPr>
        <a:bodyPr rot="0" spcFirstLastPara="1" vertOverflow="ellipsis" vert="horz" wrap="square" anchor="ctr" anchorCtr="1"/>
        <a:lstStyle/>
        <a:p>
          <a:pPr algn="ctr" rtl="0">
            <a:defRPr lang="en-NZ" sz="1100" b="1" i="0" u="none" strike="noStrike" kern="1200" spc="0" baseline="0">
              <a:solidFill>
                <a:sysClr val="windowText" lastClr="000000"/>
              </a:solidFill>
              <a:latin typeface="Aptos ExtraBold" panose="020B0004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509647442718304"/>
          <c:y val="0.14574570583740323"/>
          <c:w val="0.66490352557281696"/>
          <c:h val="0.70161577904027816"/>
        </c:manualLayout>
      </c:layout>
      <c:barChart>
        <c:barDir val="bar"/>
        <c:grouping val="clustered"/>
        <c:varyColors val="0"/>
        <c:ser>
          <c:idx val="0"/>
          <c:order val="0"/>
          <c:tx>
            <c:strRef>
              <c:f>'Pivot Tables'!$F$21</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Tables'!$E$22:$E$29</c:f>
              <c:strCache>
                <c:ptCount val="7"/>
                <c:pt idx="0">
                  <c:v>Sunday</c:v>
                </c:pt>
                <c:pt idx="1">
                  <c:v>Saturday</c:v>
                </c:pt>
                <c:pt idx="2">
                  <c:v>Friday</c:v>
                </c:pt>
                <c:pt idx="3">
                  <c:v>Thursday</c:v>
                </c:pt>
                <c:pt idx="4">
                  <c:v>Wednesday</c:v>
                </c:pt>
                <c:pt idx="5">
                  <c:v>Tuesday</c:v>
                </c:pt>
                <c:pt idx="6">
                  <c:v>Monday</c:v>
                </c:pt>
              </c:strCache>
            </c:strRef>
          </c:cat>
          <c:val>
            <c:numRef>
              <c:f>'Pivot Tables'!$F$22:$F$29</c:f>
              <c:numCache>
                <c:formatCode>#,##0</c:formatCode>
                <c:ptCount val="7"/>
                <c:pt idx="0">
                  <c:v>30</c:v>
                </c:pt>
                <c:pt idx="1">
                  <c:v>25</c:v>
                </c:pt>
                <c:pt idx="2">
                  <c:v>27</c:v>
                </c:pt>
                <c:pt idx="3">
                  <c:v>27</c:v>
                </c:pt>
                <c:pt idx="4">
                  <c:v>38</c:v>
                </c:pt>
                <c:pt idx="5">
                  <c:v>26</c:v>
                </c:pt>
                <c:pt idx="6">
                  <c:v>34</c:v>
                </c:pt>
              </c:numCache>
            </c:numRef>
          </c:val>
          <c:extLst>
            <c:ext xmlns:c16="http://schemas.microsoft.com/office/drawing/2014/chart" uri="{C3380CC4-5D6E-409C-BE32-E72D297353CC}">
              <c16:uniqueId val="{00000000-1506-4C82-B6CE-CFFB8862DF53}"/>
            </c:ext>
          </c:extLst>
        </c:ser>
        <c:dLbls>
          <c:dLblPos val="inEnd"/>
          <c:showLegendKey val="0"/>
          <c:showVal val="1"/>
          <c:showCatName val="0"/>
          <c:showSerName val="0"/>
          <c:showPercent val="0"/>
          <c:showBubbleSize val="0"/>
        </c:dLbls>
        <c:gapWidth val="25"/>
        <c:axId val="1052709104"/>
        <c:axId val="1043809488"/>
      </c:barChart>
      <c:catAx>
        <c:axId val="1052709104"/>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700" b="1" i="0" u="none" strike="noStrike" kern="1200" cap="all" baseline="0">
                <a:solidFill>
                  <a:schemeClr val="dk1">
                    <a:lumMod val="75000"/>
                    <a:lumOff val="25000"/>
                  </a:schemeClr>
                </a:solidFill>
                <a:latin typeface="Amasis MT Pro Black" panose="02040A04050005020304" pitchFamily="18" charset="0"/>
                <a:ea typeface="+mn-ea"/>
                <a:cs typeface="+mn-cs"/>
              </a:defRPr>
            </a:pPr>
            <a:endParaRPr lang="en-US"/>
          </a:p>
        </c:txPr>
        <c:crossAx val="1043809488"/>
        <c:crosses val="autoZero"/>
        <c:auto val="1"/>
        <c:lblAlgn val="ctr"/>
        <c:lblOffset val="100"/>
        <c:noMultiLvlLbl val="0"/>
      </c:catAx>
      <c:valAx>
        <c:axId val="1043809488"/>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crossAx val="105270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[My_Excel_Call_Center_Data_Final.xlsx]Pivot Tables!PivotTable29</c:name>
    <c:fmtId val="28"/>
  </c:pivotSource>
  <c:chart>
    <c:title>
      <c:tx>
        <c:rich>
          <a:bodyPr rot="0" spcFirstLastPara="1" vertOverflow="ellipsis" vert="horz" wrap="square" anchor="ctr" anchorCtr="1"/>
          <a:lstStyle/>
          <a:p>
            <a:pPr algn="ctr" rtl="0">
              <a:defRPr sz="960" b="1" i="0" u="none" strike="noStrike" kern="1200" baseline="0">
                <a:solidFill>
                  <a:schemeClr val="dk1">
                    <a:lumMod val="75000"/>
                    <a:lumOff val="25000"/>
                  </a:schemeClr>
                </a:solidFill>
                <a:latin typeface="+mn-lt"/>
                <a:ea typeface="+mn-ea"/>
                <a:cs typeface="+mn-cs"/>
              </a:defRPr>
            </a:pPr>
            <a:r>
              <a:rPr lang="en-NZ">
                <a:solidFill>
                  <a:schemeClr val="accent6">
                    <a:lumMod val="50000"/>
                  </a:schemeClr>
                </a:solidFill>
              </a:rPr>
              <a:t>Male </a:t>
            </a:r>
            <a:r>
              <a:rPr lang="en-NZ"/>
              <a:t>Vs </a:t>
            </a:r>
            <a:r>
              <a:rPr lang="en-NZ">
                <a:solidFill>
                  <a:schemeClr val="accent5">
                    <a:lumMod val="75000"/>
                  </a:schemeClr>
                </a:solidFill>
              </a:rPr>
              <a:t>Female</a:t>
            </a:r>
            <a:r>
              <a:rPr lang="en-NZ"/>
              <a:t> Callers</a:t>
            </a:r>
          </a:p>
        </c:rich>
      </c:tx>
      <c:layout>
        <c:manualLayout>
          <c:xMode val="edge"/>
          <c:yMode val="edge"/>
          <c:x val="0.16269093412503766"/>
          <c:y val="4.9226441631504921E-2"/>
        </c:manualLayout>
      </c:layout>
      <c:overlay val="0"/>
      <c:spPr>
        <a:noFill/>
        <a:ln>
          <a:solidFill>
            <a:schemeClr val="tx1">
              <a:alpha val="92000"/>
            </a:schemeClr>
          </a:solidFill>
        </a:ln>
        <a:effectLst/>
      </c:spPr>
      <c:txPr>
        <a:bodyPr rot="0" spcFirstLastPara="1" vertOverflow="ellipsis" vert="horz" wrap="square" anchor="ctr" anchorCtr="1"/>
        <a:lstStyle/>
        <a:p>
          <a:pPr algn="ctr" rtl="0">
            <a:defRPr sz="96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alpha val="92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053993894851077"/>
          <c:y val="0.12858330623309769"/>
          <c:w val="0.64946006105148923"/>
          <c:h val="0.82584915611986387"/>
        </c:manualLayout>
      </c:layout>
      <c:barChart>
        <c:barDir val="bar"/>
        <c:grouping val="percentStacked"/>
        <c:varyColors val="0"/>
        <c:ser>
          <c:idx val="0"/>
          <c:order val="0"/>
          <c:tx>
            <c:strRef>
              <c:f>'Pivot Tables'!$F$42:$F$43</c:f>
              <c:strCache>
                <c:ptCount val="1"/>
                <c:pt idx="0">
                  <c:v>Female</c:v>
                </c:pt>
              </c:strCache>
            </c:strRef>
          </c:tx>
          <c:spPr>
            <a:solidFill>
              <a:schemeClr val="accent5">
                <a:alpha val="92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Tables'!$E$44:$E$47</c:f>
              <c:strCache>
                <c:ptCount val="3"/>
                <c:pt idx="0">
                  <c:v>Cincinnati</c:v>
                </c:pt>
                <c:pt idx="1">
                  <c:v>Cleveland</c:v>
                </c:pt>
                <c:pt idx="2">
                  <c:v>Columbus</c:v>
                </c:pt>
              </c:strCache>
            </c:strRef>
          </c:cat>
          <c:val>
            <c:numRef>
              <c:f>'Pivot Tables'!$F$44:$F$47</c:f>
              <c:numCache>
                <c:formatCode>#,##0</c:formatCode>
                <c:ptCount val="3"/>
                <c:pt idx="0">
                  <c:v>28</c:v>
                </c:pt>
                <c:pt idx="1">
                  <c:v>64</c:v>
                </c:pt>
                <c:pt idx="2">
                  <c:v>28</c:v>
                </c:pt>
              </c:numCache>
            </c:numRef>
          </c:val>
          <c:extLst>
            <c:ext xmlns:c16="http://schemas.microsoft.com/office/drawing/2014/chart" uri="{C3380CC4-5D6E-409C-BE32-E72D297353CC}">
              <c16:uniqueId val="{00000000-DE49-40F1-A30B-389AFD4A68B6}"/>
            </c:ext>
          </c:extLst>
        </c:ser>
        <c:ser>
          <c:idx val="1"/>
          <c:order val="1"/>
          <c:tx>
            <c:strRef>
              <c:f>'Pivot Tables'!$G$42:$G$43</c:f>
              <c:strCache>
                <c:ptCount val="1"/>
                <c:pt idx="0">
                  <c:v>Male</c:v>
                </c:pt>
              </c:strCache>
            </c:strRef>
          </c:tx>
          <c:spPr>
            <a:solidFill>
              <a:schemeClr val="accent6">
                <a:lumMod val="5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Tables'!$E$44:$E$47</c:f>
              <c:strCache>
                <c:ptCount val="3"/>
                <c:pt idx="0">
                  <c:v>Cincinnati</c:v>
                </c:pt>
                <c:pt idx="1">
                  <c:v>Cleveland</c:v>
                </c:pt>
                <c:pt idx="2">
                  <c:v>Columbus</c:v>
                </c:pt>
              </c:strCache>
            </c:strRef>
          </c:cat>
          <c:val>
            <c:numRef>
              <c:f>'Pivot Tables'!$G$44:$G$47</c:f>
              <c:numCache>
                <c:formatCode>#,##0</c:formatCode>
                <c:ptCount val="3"/>
                <c:pt idx="0">
                  <c:v>26</c:v>
                </c:pt>
                <c:pt idx="1">
                  <c:v>14</c:v>
                </c:pt>
                <c:pt idx="2">
                  <c:v>47</c:v>
                </c:pt>
              </c:numCache>
            </c:numRef>
          </c:val>
          <c:extLst>
            <c:ext xmlns:c16="http://schemas.microsoft.com/office/drawing/2014/chart" uri="{C3380CC4-5D6E-409C-BE32-E72D297353CC}">
              <c16:uniqueId val="{00000001-DE49-40F1-A30B-389AFD4A68B6}"/>
            </c:ext>
          </c:extLst>
        </c:ser>
        <c:dLbls>
          <c:dLblPos val="ctr"/>
          <c:showLegendKey val="0"/>
          <c:showVal val="1"/>
          <c:showCatName val="0"/>
          <c:showSerName val="0"/>
          <c:showPercent val="0"/>
          <c:showBubbleSize val="0"/>
        </c:dLbls>
        <c:gapWidth val="150"/>
        <c:overlap val="100"/>
        <c:axId val="1056603952"/>
        <c:axId val="233948975"/>
      </c:barChart>
      <c:catAx>
        <c:axId val="1056603952"/>
        <c:scaling>
          <c:orientation val="minMax"/>
        </c:scaling>
        <c:delete val="0"/>
        <c:axPos val="l"/>
        <c:numFmt formatCode="General" sourceLinked="1"/>
        <c:majorTickMark val="none"/>
        <c:minorTickMark val="none"/>
        <c:tickLblPos val="low"/>
        <c:spPr>
          <a:solidFill>
            <a:srgbClr val="FFC000"/>
          </a:solidFill>
          <a:ln w="19050" cap="flat" cmpd="sng" algn="ctr">
            <a:noFill/>
            <a:round/>
          </a:ln>
          <a:effectLst/>
        </c:spPr>
        <c:txPr>
          <a:bodyPr rot="0" spcFirstLastPara="1" vertOverflow="ellipsis" wrap="square" anchor="ctr" anchorCtr="1"/>
          <a:lstStyle/>
          <a:p>
            <a:pPr algn="ctr">
              <a:defRPr sz="900" b="0" i="0" u="none" strike="noStrike" kern="1200" cap="all" baseline="0">
                <a:solidFill>
                  <a:schemeClr val="dk1">
                    <a:lumMod val="75000"/>
                    <a:lumOff val="25000"/>
                  </a:schemeClr>
                </a:solidFill>
                <a:latin typeface="+mn-lt"/>
                <a:ea typeface="+mn-ea"/>
                <a:cs typeface="+mn-cs"/>
              </a:defRPr>
            </a:pPr>
            <a:endParaRPr lang="en-US"/>
          </a:p>
        </c:txPr>
        <c:crossAx val="233948975"/>
        <c:crosses val="autoZero"/>
        <c:auto val="1"/>
        <c:lblAlgn val="ctr"/>
        <c:lblOffset val="100"/>
        <c:noMultiLvlLbl val="0"/>
      </c:catAx>
      <c:valAx>
        <c:axId val="233948975"/>
        <c:scaling>
          <c:orientation val="minMax"/>
        </c:scaling>
        <c:delete val="1"/>
        <c:axPos val="b"/>
        <c:numFmt formatCode="0%" sourceLinked="1"/>
        <c:majorTickMark val="none"/>
        <c:minorTickMark val="none"/>
        <c:tickLblPos val="nextTo"/>
        <c:crossAx val="105660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1">
          <a:lumMod val="75000"/>
          <a:alpha val="76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[My_Excel_Call_Center_Data_Final.xlsx]Pivot Tables!Rep Satisfaction</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Ratings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3.3218305131035429E-2"/>
          <c:y val="0.15292301764456642"/>
          <c:w val="0.86910160413608417"/>
          <c:h val="0.72135028999926099"/>
        </c:manualLayout>
      </c:layout>
      <c:barChart>
        <c:barDir val="col"/>
        <c:grouping val="clustered"/>
        <c:varyColors val="0"/>
        <c:ser>
          <c:idx val="0"/>
          <c:order val="0"/>
          <c:tx>
            <c:strRef>
              <c:f>'Pivot Tables'!$P$45</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Tables'!$O$46:$O$52</c:f>
              <c:strCache>
                <c:ptCount val="6"/>
                <c:pt idx="0">
                  <c:v>0</c:v>
                </c:pt>
                <c:pt idx="1">
                  <c:v>1</c:v>
                </c:pt>
                <c:pt idx="2">
                  <c:v>2</c:v>
                </c:pt>
                <c:pt idx="3">
                  <c:v>3</c:v>
                </c:pt>
                <c:pt idx="4">
                  <c:v>4</c:v>
                </c:pt>
                <c:pt idx="5">
                  <c:v>5</c:v>
                </c:pt>
              </c:strCache>
            </c:strRef>
          </c:cat>
          <c:val>
            <c:numRef>
              <c:f>'Pivot Tables'!$P$46:$P$52</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6A48-4E63-8803-ECB40B21E4AE}"/>
            </c:ext>
          </c:extLst>
        </c:ser>
        <c:dLbls>
          <c:showLegendKey val="0"/>
          <c:showVal val="0"/>
          <c:showCatName val="0"/>
          <c:showSerName val="0"/>
          <c:showPercent val="0"/>
          <c:showBubbleSize val="0"/>
        </c:dLbls>
        <c:gapWidth val="65"/>
        <c:axId val="1028791376"/>
        <c:axId val="234051695"/>
      </c:barChart>
      <c:catAx>
        <c:axId val="1028791376"/>
        <c:scaling>
          <c:orientation val="minMax"/>
        </c:scaling>
        <c:delete val="1"/>
        <c:axPos val="b"/>
        <c:numFmt formatCode="General" sourceLinked="1"/>
        <c:majorTickMark val="out"/>
        <c:minorTickMark val="none"/>
        <c:tickLblPos val="nextTo"/>
        <c:crossAx val="234051695"/>
        <c:crosses val="autoZero"/>
        <c:auto val="1"/>
        <c:lblAlgn val="ctr"/>
        <c:lblOffset val="100"/>
        <c:noMultiLvlLbl val="0"/>
      </c:catAx>
      <c:valAx>
        <c:axId val="234051695"/>
        <c:scaling>
          <c:orientation val="minMax"/>
        </c:scaling>
        <c:delete val="1"/>
        <c:axPos val="l"/>
        <c:numFmt formatCode="#,##0" sourceLinked="1"/>
        <c:majorTickMark val="out"/>
        <c:minorTickMark val="none"/>
        <c:tickLblPos val="nextTo"/>
        <c:crossAx val="102879137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[My_Excel_Call_Center_Data_Final.xlsx]Pivot Tables!Unconnected Pivot</c:name>
    <c:fmtId val="29"/>
  </c:pivotSource>
  <c:chart>
    <c:title>
      <c:tx>
        <c:rich>
          <a:bodyPr rot="0" spcFirstLastPara="1" vertOverflow="ellipsis" vert="horz" wrap="square" anchor="ctr" anchorCtr="1"/>
          <a:lstStyle/>
          <a:p>
            <a:pPr algn="ctr" rtl="0">
              <a:defRPr lang="en-US" sz="1100" b="1" i="0" u="none" strike="noStrike" kern="1200" spc="0" baseline="0">
                <a:solidFill>
                  <a:sysClr val="windowText" lastClr="000000"/>
                </a:solidFill>
                <a:latin typeface="Aptos ExtraBold" panose="020B0004020202020204" pitchFamily="34" charset="0"/>
                <a:ea typeface="+mn-ea"/>
                <a:cs typeface="+mn-cs"/>
              </a:defRPr>
            </a:pPr>
            <a:r>
              <a:rPr lang="en-US" sz="1100" b="1" i="0" u="none" strike="noStrike" kern="1200" spc="0" baseline="0">
                <a:solidFill>
                  <a:sysClr val="windowText" lastClr="000000"/>
                </a:solidFill>
                <a:latin typeface="Aptos ExtraBold" panose="020B0004020202020204" pitchFamily="34" charset="0"/>
                <a:ea typeface="+mn-ea"/>
                <a:cs typeface="+mn-cs"/>
              </a:rPr>
              <a:t>Calls</a:t>
            </a:r>
          </a:p>
        </c:rich>
      </c:tx>
      <c:layout>
        <c:manualLayout>
          <c:xMode val="edge"/>
          <c:yMode val="edge"/>
          <c:x val="4.852338195415621E-2"/>
          <c:y val="4.5226148548311855E-2"/>
        </c:manualLayout>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ysClr val="windowText" lastClr="000000"/>
              </a:solidFill>
              <a:latin typeface="Aptos ExtraBold" panose="020B0004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250006920522504E-2"/>
          <c:y val="0.24444733290362558"/>
          <c:w val="0.89687498731237536"/>
          <c:h val="0.55907057297138174"/>
        </c:manualLayout>
      </c:layout>
      <c:bar3DChart>
        <c:barDir val="col"/>
        <c:grouping val="clustered"/>
        <c:varyColors val="0"/>
        <c:ser>
          <c:idx val="0"/>
          <c:order val="0"/>
          <c:tx>
            <c:strRef>
              <c:f>'Pivot Tables'!$M$11</c:f>
              <c:strCache>
                <c:ptCount val="1"/>
                <c:pt idx="0">
                  <c:v>Total</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Tables'!$L$12:$L$17</c:f>
              <c:strCache>
                <c:ptCount val="5"/>
                <c:pt idx="0">
                  <c:v>R01</c:v>
                </c:pt>
                <c:pt idx="1">
                  <c:v>R02</c:v>
                </c:pt>
                <c:pt idx="2">
                  <c:v>R03</c:v>
                </c:pt>
                <c:pt idx="3">
                  <c:v>R04</c:v>
                </c:pt>
                <c:pt idx="4">
                  <c:v>R05</c:v>
                </c:pt>
              </c:strCache>
            </c:strRef>
          </c:cat>
          <c:val>
            <c:numRef>
              <c:f>'Pivot Tables'!$M$12:$M$17</c:f>
              <c:numCache>
                <c:formatCode>#,##0</c:formatCode>
                <c:ptCount val="5"/>
                <c:pt idx="0">
                  <c:v>189</c:v>
                </c:pt>
                <c:pt idx="1">
                  <c:v>218</c:v>
                </c:pt>
                <c:pt idx="2">
                  <c:v>207</c:v>
                </c:pt>
                <c:pt idx="3">
                  <c:v>186</c:v>
                </c:pt>
                <c:pt idx="4">
                  <c:v>200</c:v>
                </c:pt>
              </c:numCache>
            </c:numRef>
          </c:val>
          <c:shape val="cylinder"/>
          <c:extLst>
            <c:ext xmlns:c16="http://schemas.microsoft.com/office/drawing/2014/chart" uri="{C3380CC4-5D6E-409C-BE32-E72D297353CC}">
              <c16:uniqueId val="{00000000-9F1C-45CA-8021-AC48E57BFC92}"/>
            </c:ext>
          </c:extLst>
        </c:ser>
        <c:dLbls>
          <c:showLegendKey val="0"/>
          <c:showVal val="1"/>
          <c:showCatName val="0"/>
          <c:showSerName val="0"/>
          <c:showPercent val="0"/>
          <c:showBubbleSize val="0"/>
        </c:dLbls>
        <c:gapWidth val="65"/>
        <c:shape val="box"/>
        <c:axId val="769382927"/>
        <c:axId val="233944175"/>
        <c:axId val="0"/>
      </c:bar3DChart>
      <c:catAx>
        <c:axId val="76938292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lgn="ctr">
              <a:defRPr lang="en-US" sz="900" b="1" i="0" u="none" strike="noStrike" kern="1200" cap="all" baseline="0">
                <a:solidFill>
                  <a:schemeClr val="dk1">
                    <a:lumMod val="75000"/>
                    <a:lumOff val="25000"/>
                  </a:schemeClr>
                </a:solidFill>
                <a:latin typeface="Amasis MT Pro Black" panose="02040A04050005020304" pitchFamily="18" charset="0"/>
                <a:ea typeface="+mn-ea"/>
                <a:cs typeface="+mn-cs"/>
              </a:defRPr>
            </a:pPr>
            <a:endParaRPr lang="en-US"/>
          </a:p>
        </c:txPr>
        <c:crossAx val="233944175"/>
        <c:crosses val="autoZero"/>
        <c:auto val="1"/>
        <c:lblAlgn val="ctr"/>
        <c:lblOffset val="100"/>
        <c:noMultiLvlLbl val="0"/>
      </c:catAx>
      <c:valAx>
        <c:axId val="233944175"/>
        <c:scaling>
          <c:orientation val="minMax"/>
        </c:scaling>
        <c:delete val="1"/>
        <c:axPos val="l"/>
        <c:numFmt formatCode="#,##0" sourceLinked="1"/>
        <c:majorTickMark val="out"/>
        <c:minorTickMark val="none"/>
        <c:tickLblPos val="nextTo"/>
        <c:crossAx val="76938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[My_Excel_Call_Center_Data_Final.xlsx]Pivot Tables!PivotTable39</c:name>
    <c:fmtId val="38"/>
  </c:pivotSource>
  <c:chart>
    <c:title>
      <c:tx>
        <c:rich>
          <a:bodyPr rot="0" spcFirstLastPara="1" vertOverflow="ellipsis" vert="horz" wrap="square" anchor="ctr" anchorCtr="1"/>
          <a:lstStyle/>
          <a:p>
            <a:pPr algn="ctr" rtl="0">
              <a:defRPr lang="en-US" sz="1100" b="1" i="0" u="none" strike="noStrike" kern="1200" spc="0" baseline="0">
                <a:solidFill>
                  <a:sysClr val="windowText" lastClr="000000"/>
                </a:solidFill>
                <a:latin typeface="Aptos ExtraBold" panose="020B0004020202020204" pitchFamily="34" charset="0"/>
                <a:ea typeface="+mn-ea"/>
                <a:cs typeface="+mn-cs"/>
              </a:defRPr>
            </a:pPr>
            <a:r>
              <a:rPr lang="en-US" sz="1100" b="1" i="0" u="none" strike="noStrike" kern="1200" spc="0" baseline="0">
                <a:solidFill>
                  <a:sysClr val="windowText" lastClr="000000"/>
                </a:solidFill>
                <a:latin typeface="Aptos ExtraBold" panose="020B0004020202020204" pitchFamily="34" charset="0"/>
                <a:ea typeface="+mn-ea"/>
                <a:cs typeface="+mn-cs"/>
              </a:rPr>
              <a:t>Amount</a:t>
            </a:r>
          </a:p>
        </c:rich>
      </c:tx>
      <c:layout>
        <c:manualLayout>
          <c:xMode val="edge"/>
          <c:yMode val="edge"/>
          <c:x val="4.1382327209098825E-2"/>
          <c:y val="1.7751360480944407E-2"/>
        </c:manualLayout>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ysClr val="windowText" lastClr="000000"/>
              </a:solidFill>
              <a:latin typeface="Aptos ExtraBold" panose="020B0004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5400000" spcFirstLastPara="1" vertOverflow="ellipsis" vert="horz" wrap="square" lIns="38100" tIns="504000" rIns="38100" bIns="19050" anchor="ctr" anchorCtr="0">
              <a:spAutoFit/>
            </a:bodyPr>
            <a:lstStyle/>
            <a:p>
              <a:pPr algn="ctr">
                <a:defRPr lang="en-US"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Tables'!$P$11</c:f>
              <c:strCache>
                <c:ptCount val="1"/>
                <c:pt idx="0">
                  <c:v>Total</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5400000" spcFirstLastPara="1" vertOverflow="ellipsis" vert="horz" wrap="square" lIns="38100" tIns="504000" rIns="38100" bIns="19050" anchor="ctr" anchorCtr="0">
                <a:spAutoFit/>
              </a:bodyPr>
              <a:lstStyle/>
              <a:p>
                <a:pPr algn="ctr">
                  <a:defRPr lang="en-US"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dk1">
                          <a:lumMod val="50000"/>
                          <a:lumOff val="50000"/>
                        </a:schemeClr>
                      </a:solidFill>
                    </a:ln>
                    <a:effectLst/>
                  </c:spPr>
                </c15:leaderLines>
              </c:ext>
            </c:extLst>
          </c:dLbls>
          <c:cat>
            <c:strRef>
              <c:f>'Pivot Tables'!$O$12:$O$17</c:f>
              <c:strCache>
                <c:ptCount val="5"/>
                <c:pt idx="0">
                  <c:v>R01</c:v>
                </c:pt>
                <c:pt idx="1">
                  <c:v>R02</c:v>
                </c:pt>
                <c:pt idx="2">
                  <c:v>R03</c:v>
                </c:pt>
                <c:pt idx="3">
                  <c:v>R04</c:v>
                </c:pt>
                <c:pt idx="4">
                  <c:v>R05</c:v>
                </c:pt>
              </c:strCache>
            </c:strRef>
          </c:cat>
          <c:val>
            <c:numRef>
              <c:f>'Pivot Tables'!$P$12:$P$17</c:f>
              <c:numCache>
                <c:formatCode>\$#,##0;\-\$#,##0;\$#,##0</c:formatCode>
                <c:ptCount val="5"/>
                <c:pt idx="0">
                  <c:v>18415</c:v>
                </c:pt>
                <c:pt idx="1">
                  <c:v>20581</c:v>
                </c:pt>
                <c:pt idx="2">
                  <c:v>20872</c:v>
                </c:pt>
                <c:pt idx="3">
                  <c:v>16651</c:v>
                </c:pt>
                <c:pt idx="4">
                  <c:v>20104</c:v>
                </c:pt>
              </c:numCache>
            </c:numRef>
          </c:val>
          <c:shape val="cylinder"/>
          <c:extLst>
            <c:ext xmlns:c16="http://schemas.microsoft.com/office/drawing/2014/chart" uri="{C3380CC4-5D6E-409C-BE32-E72D297353CC}">
              <c16:uniqueId val="{00000000-9BF2-4183-9A4F-BFA7F8254A5B}"/>
            </c:ext>
          </c:extLst>
        </c:ser>
        <c:dLbls>
          <c:showLegendKey val="0"/>
          <c:showVal val="1"/>
          <c:showCatName val="0"/>
          <c:showSerName val="0"/>
          <c:showPercent val="0"/>
          <c:showBubbleSize val="0"/>
        </c:dLbls>
        <c:gapWidth val="65"/>
        <c:shape val="box"/>
        <c:axId val="1493775599"/>
        <c:axId val="1493943695"/>
        <c:axId val="0"/>
      </c:bar3DChart>
      <c:catAx>
        <c:axId val="14937755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lgn="ctr">
              <a:defRPr lang="en-US" sz="900" b="1" i="0" u="none" strike="noStrike" kern="1200" cap="all" baseline="0">
                <a:solidFill>
                  <a:schemeClr val="dk1">
                    <a:lumMod val="75000"/>
                    <a:lumOff val="25000"/>
                  </a:schemeClr>
                </a:solidFill>
                <a:latin typeface="Amasis MT Pro Black" panose="02040A04050005020304" pitchFamily="18" charset="0"/>
                <a:ea typeface="+mn-ea"/>
                <a:cs typeface="+mn-cs"/>
              </a:defRPr>
            </a:pPr>
            <a:endParaRPr lang="en-US"/>
          </a:p>
        </c:txPr>
        <c:crossAx val="1493943695"/>
        <c:crosses val="autoZero"/>
        <c:auto val="1"/>
        <c:lblAlgn val="ctr"/>
        <c:lblOffset val="100"/>
        <c:noMultiLvlLbl val="0"/>
      </c:catAx>
      <c:valAx>
        <c:axId val="1493943695"/>
        <c:scaling>
          <c:orientation val="minMax"/>
        </c:scaling>
        <c:delete val="1"/>
        <c:axPos val="l"/>
        <c:numFmt formatCode="\$#,##0;\-\$#,##0;\$#,##0" sourceLinked="1"/>
        <c:majorTickMark val="none"/>
        <c:minorTickMark val="none"/>
        <c:tickLblPos val="nextTo"/>
        <c:crossAx val="149377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17" Type="http://schemas.openxmlformats.org/officeDocument/2006/relationships/chart" Target="../charts/chart5.xml"/><Relationship Id="rId2" Type="http://schemas.openxmlformats.org/officeDocument/2006/relationships/image" Target="../media/image7.svg"/><Relationship Id="rId16" Type="http://schemas.openxmlformats.org/officeDocument/2006/relationships/chart" Target="../charts/chart4.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5" Type="http://schemas.openxmlformats.org/officeDocument/2006/relationships/chart" Target="../charts/chart3.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25.svg"/><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image" Target="../media/image29.svg"/><Relationship Id="rId2" Type="http://schemas.openxmlformats.org/officeDocument/2006/relationships/image" Target="../media/image19.svg"/><Relationship Id="rId1" Type="http://schemas.openxmlformats.org/officeDocument/2006/relationships/image" Target="../media/image18.png"/><Relationship Id="rId6" Type="http://schemas.openxmlformats.org/officeDocument/2006/relationships/image" Target="../media/image23.svg"/><Relationship Id="rId11" Type="http://schemas.openxmlformats.org/officeDocument/2006/relationships/image" Target="../media/image28.png"/><Relationship Id="rId5" Type="http://schemas.openxmlformats.org/officeDocument/2006/relationships/image" Target="../media/image22.png"/><Relationship Id="rId10" Type="http://schemas.openxmlformats.org/officeDocument/2006/relationships/image" Target="../media/image27.svg"/><Relationship Id="rId4" Type="http://schemas.openxmlformats.org/officeDocument/2006/relationships/image" Target="../media/image21.svg"/><Relationship Id="rId9"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oneCell">
    <xdr:from>
      <xdr:col>5</xdr:col>
      <xdr:colOff>762000</xdr:colOff>
      <xdr:row>1</xdr:row>
      <xdr:rowOff>106680</xdr:rowOff>
    </xdr:from>
    <xdr:to>
      <xdr:col>8</xdr:col>
      <xdr:colOff>114300</xdr:colOff>
      <xdr:row>15</xdr:row>
      <xdr:rowOff>97155</xdr:rowOff>
    </xdr:to>
    <mc:AlternateContent xmlns:mc="http://schemas.openxmlformats.org/markup-compatibility/2006" xmlns:a14="http://schemas.microsoft.com/office/drawing/2010/main">
      <mc:Choice Requires="a14">
        <xdr:graphicFrame macro="">
          <xdr:nvGraphicFramePr>
            <xdr:cNvPr id="4" name="Representative 1">
              <a:extLst>
                <a:ext uri="{FF2B5EF4-FFF2-40B4-BE49-F238E27FC236}">
                  <a16:creationId xmlns:a16="http://schemas.microsoft.com/office/drawing/2014/main" id="{E57597FF-E373-451A-B2F2-D2C932FBA140}"/>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5478780" y="281940"/>
              <a:ext cx="1798320" cy="2444115"/>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68580</xdr:rowOff>
    </xdr:from>
    <xdr:to>
      <xdr:col>2</xdr:col>
      <xdr:colOff>83820</xdr:colOff>
      <xdr:row>49</xdr:row>
      <xdr:rowOff>59055</xdr:rowOff>
    </xdr:to>
    <mc:AlternateContent xmlns:mc="http://schemas.openxmlformats.org/markup-compatibility/2006" xmlns:a14="http://schemas.microsoft.com/office/drawing/2010/main">
      <mc:Choice Requires="a14">
        <xdr:graphicFrame macro="">
          <xdr:nvGraphicFramePr>
            <xdr:cNvPr id="18" name="Representative 2">
              <a:extLst>
                <a:ext uri="{FF2B5EF4-FFF2-40B4-BE49-F238E27FC236}">
                  <a16:creationId xmlns:a16="http://schemas.microsoft.com/office/drawing/2014/main" id="{595EB9D1-90E2-4394-9D5A-9470547433D1}"/>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0" y="6202680"/>
              <a:ext cx="1798320" cy="2444115"/>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430530</xdr:colOff>
      <xdr:row>5</xdr:row>
      <xdr:rowOff>6159</xdr:rowOff>
    </xdr:from>
    <xdr:to>
      <xdr:col>0</xdr:col>
      <xdr:colOff>624840</xdr:colOff>
      <xdr:row>6</xdr:row>
      <xdr:rowOff>14394</xdr:rowOff>
    </xdr:to>
    <xdr:pic>
      <xdr:nvPicPr>
        <xdr:cNvPr id="4" name="Graphic 3" descr="Receiver with solid fill">
          <a:extLst>
            <a:ext uri="{FF2B5EF4-FFF2-40B4-BE49-F238E27FC236}">
              <a16:creationId xmlns:a16="http://schemas.microsoft.com/office/drawing/2014/main" id="{995DC2AC-0E2A-4941-9049-62CD19E5F4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0530" y="882459"/>
          <a:ext cx="194310" cy="191961"/>
        </a:xfrm>
        <a:prstGeom prst="rect">
          <a:avLst/>
        </a:prstGeom>
      </xdr:spPr>
    </xdr:pic>
    <xdr:clientData/>
  </xdr:twoCellAnchor>
  <xdr:twoCellAnchor>
    <xdr:from>
      <xdr:col>0</xdr:col>
      <xdr:colOff>0</xdr:colOff>
      <xdr:row>7</xdr:row>
      <xdr:rowOff>8468</xdr:rowOff>
    </xdr:from>
    <xdr:to>
      <xdr:col>2</xdr:col>
      <xdr:colOff>19050</xdr:colOff>
      <xdr:row>11</xdr:row>
      <xdr:rowOff>161925</xdr:rowOff>
    </xdr:to>
    <xdr:sp macro="" textlink="'Pivot Tables'!$B$4">
      <xdr:nvSpPr>
        <xdr:cNvPr id="26" name="Rectangle: Rounded Corners 25">
          <a:extLst>
            <a:ext uri="{FF2B5EF4-FFF2-40B4-BE49-F238E27FC236}">
              <a16:creationId xmlns:a16="http://schemas.microsoft.com/office/drawing/2014/main" id="{0BA840B2-EDF6-4079-9E6A-90949372326C}"/>
            </a:ext>
          </a:extLst>
        </xdr:cNvPr>
        <xdr:cNvSpPr/>
      </xdr:nvSpPr>
      <xdr:spPr>
        <a:xfrm>
          <a:off x="0" y="1380068"/>
          <a:ext cx="1356783" cy="898524"/>
        </a:xfrm>
        <a:prstGeom prst="roundRect">
          <a:avLst/>
        </a:prstGeom>
        <a:solidFill>
          <a:schemeClr val="tx2">
            <a:lumMod val="60000"/>
            <a:lumOff val="40000"/>
          </a:schemeClr>
        </a:solidFill>
        <a:ln>
          <a:solidFill>
            <a:schemeClr val="bg1">
              <a:lumMod val="75000"/>
            </a:schemeClr>
          </a:solidFill>
        </a:ln>
        <a:effectLst>
          <a:outerShdw blurRad="50800" dist="38100" dir="13500000" algn="br"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AB606991-E8E8-44DD-864A-FBAAE6160131}" type="TxLink">
            <a:rPr lang="en-US" sz="1600" b="0" i="0" u="none" strike="noStrike">
              <a:solidFill>
                <a:schemeClr val="bg1"/>
              </a:solidFill>
              <a:latin typeface="Aptos ExtraBold" panose="020B0004020202020204" pitchFamily="34" charset="0"/>
              <a:cs typeface="Arial"/>
            </a:rPr>
            <a:pPr algn="ctr"/>
            <a:t>$20,872</a:t>
          </a:fld>
          <a:endParaRPr lang="en-NZ" sz="1600">
            <a:solidFill>
              <a:schemeClr val="bg1"/>
            </a:solidFill>
            <a:latin typeface="Aptos ExtraBold" panose="020B0004020202020204" pitchFamily="34" charset="0"/>
          </a:endParaRPr>
        </a:p>
      </xdr:txBody>
    </xdr:sp>
    <xdr:clientData/>
  </xdr:twoCellAnchor>
  <xdr:twoCellAnchor>
    <xdr:from>
      <xdr:col>0</xdr:col>
      <xdr:colOff>169334</xdr:colOff>
      <xdr:row>7</xdr:row>
      <xdr:rowOff>49952</xdr:rowOff>
    </xdr:from>
    <xdr:to>
      <xdr:col>1</xdr:col>
      <xdr:colOff>535094</xdr:colOff>
      <xdr:row>8</xdr:row>
      <xdr:rowOff>57571</xdr:rowOff>
    </xdr:to>
    <xdr:sp macro="" textlink="">
      <xdr:nvSpPr>
        <xdr:cNvPr id="27" name="TextBox 26">
          <a:extLst>
            <a:ext uri="{FF2B5EF4-FFF2-40B4-BE49-F238E27FC236}">
              <a16:creationId xmlns:a16="http://schemas.microsoft.com/office/drawing/2014/main" id="{ECBE20B8-9E0C-4340-9BF9-33563EEDE0E9}"/>
            </a:ext>
          </a:extLst>
        </xdr:cNvPr>
        <xdr:cNvSpPr txBox="1"/>
      </xdr:nvSpPr>
      <xdr:spPr>
        <a:xfrm>
          <a:off x="169334" y="1421552"/>
          <a:ext cx="1034627" cy="19388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NZ" sz="900" b="1">
              <a:solidFill>
                <a:schemeClr val="bg1"/>
              </a:solidFill>
            </a:rPr>
            <a:t>Amount</a:t>
          </a:r>
        </a:p>
      </xdr:txBody>
    </xdr:sp>
    <xdr:clientData/>
  </xdr:twoCellAnchor>
  <xdr:twoCellAnchor>
    <xdr:from>
      <xdr:col>0</xdr:col>
      <xdr:colOff>175260</xdr:colOff>
      <xdr:row>10</xdr:row>
      <xdr:rowOff>114299</xdr:rowOff>
    </xdr:from>
    <xdr:to>
      <xdr:col>1</xdr:col>
      <xdr:colOff>518160</xdr:colOff>
      <xdr:row>11</xdr:row>
      <xdr:rowOff>144779</xdr:rowOff>
    </xdr:to>
    <xdr:sp macro="" textlink="'Pivot Tables'!B15">
      <xdr:nvSpPr>
        <xdr:cNvPr id="29" name="TextBox 28">
          <a:extLst>
            <a:ext uri="{FF2B5EF4-FFF2-40B4-BE49-F238E27FC236}">
              <a16:creationId xmlns:a16="http://schemas.microsoft.com/office/drawing/2014/main" id="{CB710014-ED21-4656-B292-CA1AD81D6FF5}"/>
            </a:ext>
          </a:extLst>
        </xdr:cNvPr>
        <xdr:cNvSpPr txBox="1"/>
      </xdr:nvSpPr>
      <xdr:spPr>
        <a:xfrm>
          <a:off x="175260" y="1866899"/>
          <a:ext cx="10134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4944D0F-E7D7-41DC-BB90-35B2DC8308D1}" type="TxLink">
            <a:rPr lang="en-US" sz="900" b="1" i="0" u="none" strike="noStrike">
              <a:solidFill>
                <a:schemeClr val="bg1"/>
              </a:solidFill>
              <a:latin typeface="Arial"/>
              <a:cs typeface="Arial"/>
            </a:rPr>
            <a:pPr algn="ctr"/>
            <a:t>$20,872</a:t>
          </a:fld>
          <a:endParaRPr lang="en-NZ" sz="900" b="1">
            <a:solidFill>
              <a:schemeClr val="bg1"/>
            </a:solidFill>
          </a:endParaRPr>
        </a:p>
      </xdr:txBody>
    </xdr:sp>
    <xdr:clientData/>
  </xdr:twoCellAnchor>
  <xdr:twoCellAnchor>
    <xdr:from>
      <xdr:col>0</xdr:col>
      <xdr:colOff>8466</xdr:colOff>
      <xdr:row>12</xdr:row>
      <xdr:rowOff>143934</xdr:rowOff>
    </xdr:from>
    <xdr:to>
      <xdr:col>2</xdr:col>
      <xdr:colOff>27516</xdr:colOff>
      <xdr:row>17</xdr:row>
      <xdr:rowOff>17144</xdr:rowOff>
    </xdr:to>
    <xdr:sp macro="" textlink="'Pivot Tables'!$C$4">
      <xdr:nvSpPr>
        <xdr:cNvPr id="30" name="Rectangle: Rounded Corners 29">
          <a:extLst>
            <a:ext uri="{FF2B5EF4-FFF2-40B4-BE49-F238E27FC236}">
              <a16:creationId xmlns:a16="http://schemas.microsoft.com/office/drawing/2014/main" id="{E2FBCF2D-A8F2-4EBB-AF7C-554165C6E790}"/>
            </a:ext>
          </a:extLst>
        </xdr:cNvPr>
        <xdr:cNvSpPr/>
      </xdr:nvSpPr>
      <xdr:spPr>
        <a:xfrm>
          <a:off x="8466" y="2446867"/>
          <a:ext cx="1356783" cy="804544"/>
        </a:xfrm>
        <a:prstGeom prst="roundRect">
          <a:avLst/>
        </a:prstGeom>
        <a:solidFill>
          <a:schemeClr val="tx2">
            <a:lumMod val="60000"/>
            <a:lumOff val="40000"/>
          </a:schemeClr>
        </a:solidFill>
        <a:ln>
          <a:solidFill>
            <a:schemeClr val="bg1">
              <a:lumMod val="75000"/>
            </a:schemeClr>
          </a:solidFill>
        </a:ln>
        <a:effectLst>
          <a:outerShdw blurRad="50800" dist="38100" dir="13500000" algn="br"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D3BFA1E1-EFE9-4F90-85C9-EB3C67977EDD}" type="TxLink">
            <a:rPr lang="en-US" sz="1600" b="0" i="0" u="none" strike="noStrike">
              <a:solidFill>
                <a:schemeClr val="bg1"/>
              </a:solidFill>
              <a:latin typeface="Aptos ExtraBold" panose="020B0004020202020204" pitchFamily="34" charset="0"/>
              <a:cs typeface="Arial"/>
            </a:rPr>
            <a:pPr algn="ctr"/>
            <a:t>17700</a:t>
          </a:fld>
          <a:endParaRPr lang="en-NZ" sz="1600">
            <a:solidFill>
              <a:schemeClr val="bg1"/>
            </a:solidFill>
            <a:latin typeface="Aptos ExtraBold" panose="020B0004020202020204" pitchFamily="34" charset="0"/>
          </a:endParaRPr>
        </a:p>
      </xdr:txBody>
    </xdr:sp>
    <xdr:clientData/>
  </xdr:twoCellAnchor>
  <xdr:twoCellAnchor>
    <xdr:from>
      <xdr:col>0</xdr:col>
      <xdr:colOff>152400</xdr:colOff>
      <xdr:row>13</xdr:row>
      <xdr:rowOff>15239</xdr:rowOff>
    </xdr:from>
    <xdr:to>
      <xdr:col>1</xdr:col>
      <xdr:colOff>518160</xdr:colOff>
      <xdr:row>14</xdr:row>
      <xdr:rowOff>22859</xdr:rowOff>
    </xdr:to>
    <xdr:sp macro="" textlink="">
      <xdr:nvSpPr>
        <xdr:cNvPr id="31" name="TextBox 30">
          <a:extLst>
            <a:ext uri="{FF2B5EF4-FFF2-40B4-BE49-F238E27FC236}">
              <a16:creationId xmlns:a16="http://schemas.microsoft.com/office/drawing/2014/main" id="{43F0BAB3-BB3D-44DD-94FB-15679C790A6F}"/>
            </a:ext>
          </a:extLst>
        </xdr:cNvPr>
        <xdr:cNvSpPr txBox="1"/>
      </xdr:nvSpPr>
      <xdr:spPr>
        <a:xfrm>
          <a:off x="152400" y="2293619"/>
          <a:ext cx="1036320" cy="1828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NZ" sz="900" b="1">
              <a:solidFill>
                <a:schemeClr val="bg1"/>
              </a:solidFill>
            </a:rPr>
            <a:t>Duration</a:t>
          </a:r>
        </a:p>
      </xdr:txBody>
    </xdr:sp>
    <xdr:clientData/>
  </xdr:twoCellAnchor>
  <xdr:twoCellAnchor>
    <xdr:from>
      <xdr:col>0</xdr:col>
      <xdr:colOff>175260</xdr:colOff>
      <xdr:row>15</xdr:row>
      <xdr:rowOff>121919</xdr:rowOff>
    </xdr:from>
    <xdr:to>
      <xdr:col>1</xdr:col>
      <xdr:colOff>518160</xdr:colOff>
      <xdr:row>16</xdr:row>
      <xdr:rowOff>152399</xdr:rowOff>
    </xdr:to>
    <xdr:sp macro="" textlink="'Pivot Tables'!C15">
      <xdr:nvSpPr>
        <xdr:cNvPr id="33" name="TextBox 32">
          <a:extLst>
            <a:ext uri="{FF2B5EF4-FFF2-40B4-BE49-F238E27FC236}">
              <a16:creationId xmlns:a16="http://schemas.microsoft.com/office/drawing/2014/main" id="{5D2136FB-D642-40C5-B062-49CC92E7B3CF}"/>
            </a:ext>
          </a:extLst>
        </xdr:cNvPr>
        <xdr:cNvSpPr txBox="1"/>
      </xdr:nvSpPr>
      <xdr:spPr>
        <a:xfrm>
          <a:off x="175260" y="2750819"/>
          <a:ext cx="10134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67CAA37-F154-4377-AB73-E1429C39B613}" type="TxLink">
            <a:rPr lang="en-US" sz="900" b="1" i="0" u="none" strike="noStrike">
              <a:solidFill>
                <a:schemeClr val="bg1"/>
              </a:solidFill>
              <a:latin typeface="Arial"/>
              <a:cs typeface="Arial"/>
            </a:rPr>
            <a:pPr algn="ctr"/>
            <a:t>17700</a:t>
          </a:fld>
          <a:endParaRPr lang="en-NZ" sz="900" b="1">
            <a:solidFill>
              <a:schemeClr val="bg1"/>
            </a:solidFill>
          </a:endParaRPr>
        </a:p>
      </xdr:txBody>
    </xdr:sp>
    <xdr:clientData/>
  </xdr:twoCellAnchor>
  <xdr:twoCellAnchor>
    <xdr:from>
      <xdr:col>0</xdr:col>
      <xdr:colOff>0</xdr:colOff>
      <xdr:row>17</xdr:row>
      <xdr:rowOff>135466</xdr:rowOff>
    </xdr:from>
    <xdr:to>
      <xdr:col>2</xdr:col>
      <xdr:colOff>19050</xdr:colOff>
      <xdr:row>21</xdr:row>
      <xdr:rowOff>131444</xdr:rowOff>
    </xdr:to>
    <xdr:sp macro="" textlink="'Pivot Tables'!$D$4">
      <xdr:nvSpPr>
        <xdr:cNvPr id="34" name="Rectangle: Rounded Corners 33">
          <a:extLst>
            <a:ext uri="{FF2B5EF4-FFF2-40B4-BE49-F238E27FC236}">
              <a16:creationId xmlns:a16="http://schemas.microsoft.com/office/drawing/2014/main" id="{23738DD8-1392-4F6F-A555-2EC1F25F2302}"/>
            </a:ext>
          </a:extLst>
        </xdr:cNvPr>
        <xdr:cNvSpPr/>
      </xdr:nvSpPr>
      <xdr:spPr>
        <a:xfrm>
          <a:off x="0" y="3369733"/>
          <a:ext cx="1356783" cy="783378"/>
        </a:xfrm>
        <a:prstGeom prst="roundRect">
          <a:avLst/>
        </a:prstGeom>
        <a:solidFill>
          <a:schemeClr val="tx2">
            <a:lumMod val="60000"/>
            <a:lumOff val="40000"/>
          </a:schemeClr>
        </a:solidFill>
        <a:ln>
          <a:solidFill>
            <a:schemeClr val="bg1">
              <a:lumMod val="75000"/>
            </a:schemeClr>
          </a:solidFill>
        </a:ln>
        <a:effectLst>
          <a:outerShdw blurRad="50800" dist="38100" dir="13500000" algn="br"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E1158F16-8852-4AE3-A048-3E90E26CEAB2}" type="TxLink">
            <a:rPr lang="en-US" sz="1600" b="0" i="0" u="none" strike="noStrike">
              <a:solidFill>
                <a:schemeClr val="bg1"/>
              </a:solidFill>
              <a:latin typeface="Aptos ExtraBold" panose="020B0004020202020204" pitchFamily="34" charset="0"/>
              <a:cs typeface="Arial"/>
            </a:rPr>
            <a:pPr algn="ctr"/>
            <a:t>3.9</a:t>
          </a:fld>
          <a:endParaRPr lang="en-NZ" sz="1600">
            <a:solidFill>
              <a:schemeClr val="bg1"/>
            </a:solidFill>
            <a:latin typeface="Aptos ExtraBold" panose="020B0004020202020204" pitchFamily="34" charset="0"/>
          </a:endParaRPr>
        </a:p>
      </xdr:txBody>
    </xdr:sp>
    <xdr:clientData/>
  </xdr:twoCellAnchor>
  <xdr:twoCellAnchor>
    <xdr:from>
      <xdr:col>0</xdr:col>
      <xdr:colOff>152400</xdr:colOff>
      <xdr:row>17</xdr:row>
      <xdr:rowOff>167639</xdr:rowOff>
    </xdr:from>
    <xdr:to>
      <xdr:col>1</xdr:col>
      <xdr:colOff>518160</xdr:colOff>
      <xdr:row>18</xdr:row>
      <xdr:rowOff>175259</xdr:rowOff>
    </xdr:to>
    <xdr:sp macro="" textlink="">
      <xdr:nvSpPr>
        <xdr:cNvPr id="35" name="TextBox 34">
          <a:extLst>
            <a:ext uri="{FF2B5EF4-FFF2-40B4-BE49-F238E27FC236}">
              <a16:creationId xmlns:a16="http://schemas.microsoft.com/office/drawing/2014/main" id="{58A930DC-BE2C-4C2B-9EA4-0B86B4B27066}"/>
            </a:ext>
          </a:extLst>
        </xdr:cNvPr>
        <xdr:cNvSpPr txBox="1"/>
      </xdr:nvSpPr>
      <xdr:spPr>
        <a:xfrm>
          <a:off x="152400" y="3147059"/>
          <a:ext cx="1036320" cy="1828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NZ" sz="900" b="1">
              <a:solidFill>
                <a:schemeClr val="bg1"/>
              </a:solidFill>
            </a:rPr>
            <a:t>Avg Rating</a:t>
          </a:r>
        </a:p>
      </xdr:txBody>
    </xdr:sp>
    <xdr:clientData/>
  </xdr:twoCellAnchor>
  <xdr:twoCellAnchor>
    <xdr:from>
      <xdr:col>0</xdr:col>
      <xdr:colOff>175260</xdr:colOff>
      <xdr:row>20</xdr:row>
      <xdr:rowOff>99059</xdr:rowOff>
    </xdr:from>
    <xdr:to>
      <xdr:col>1</xdr:col>
      <xdr:colOff>518160</xdr:colOff>
      <xdr:row>21</xdr:row>
      <xdr:rowOff>129539</xdr:rowOff>
    </xdr:to>
    <xdr:sp macro="" textlink="'Pivot Tables'!D15">
      <xdr:nvSpPr>
        <xdr:cNvPr id="37" name="TextBox 36">
          <a:extLst>
            <a:ext uri="{FF2B5EF4-FFF2-40B4-BE49-F238E27FC236}">
              <a16:creationId xmlns:a16="http://schemas.microsoft.com/office/drawing/2014/main" id="{50D8A2EA-BF15-4D87-807D-F9D954363335}"/>
            </a:ext>
          </a:extLst>
        </xdr:cNvPr>
        <xdr:cNvSpPr txBox="1"/>
      </xdr:nvSpPr>
      <xdr:spPr>
        <a:xfrm>
          <a:off x="175260" y="3604259"/>
          <a:ext cx="10134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6554652-8C24-42E9-A369-D9E9B22A5931}" type="TxLink">
            <a:rPr lang="en-US" sz="900" b="1" i="0" u="none" strike="noStrike">
              <a:solidFill>
                <a:schemeClr val="bg1"/>
              </a:solidFill>
              <a:latin typeface="Arial"/>
              <a:cs typeface="Arial"/>
            </a:rPr>
            <a:pPr algn="ctr"/>
            <a:t>3.9</a:t>
          </a:fld>
          <a:endParaRPr lang="en-NZ" sz="900" b="1">
            <a:solidFill>
              <a:schemeClr val="bg1"/>
            </a:solidFill>
          </a:endParaRPr>
        </a:p>
      </xdr:txBody>
    </xdr:sp>
    <xdr:clientData/>
  </xdr:twoCellAnchor>
  <xdr:twoCellAnchor>
    <xdr:from>
      <xdr:col>0</xdr:col>
      <xdr:colOff>0</xdr:colOff>
      <xdr:row>1</xdr:row>
      <xdr:rowOff>220132</xdr:rowOff>
    </xdr:from>
    <xdr:to>
      <xdr:col>2</xdr:col>
      <xdr:colOff>19050</xdr:colOff>
      <xdr:row>6</xdr:row>
      <xdr:rowOff>76200</xdr:rowOff>
    </xdr:to>
    <xdr:sp macro="" textlink="'Pivot Tables'!$A$4">
      <xdr:nvSpPr>
        <xdr:cNvPr id="38" name="Rectangle: Rounded Corners 37">
          <a:extLst>
            <a:ext uri="{FF2B5EF4-FFF2-40B4-BE49-F238E27FC236}">
              <a16:creationId xmlns:a16="http://schemas.microsoft.com/office/drawing/2014/main" id="{DFF295D0-9FB2-495E-881A-13C74374D414}"/>
            </a:ext>
          </a:extLst>
        </xdr:cNvPr>
        <xdr:cNvSpPr/>
      </xdr:nvSpPr>
      <xdr:spPr>
        <a:xfrm>
          <a:off x="0" y="440265"/>
          <a:ext cx="1356783" cy="821268"/>
        </a:xfrm>
        <a:prstGeom prst="roundRect">
          <a:avLst/>
        </a:prstGeom>
        <a:solidFill>
          <a:schemeClr val="tx2">
            <a:lumMod val="60000"/>
            <a:lumOff val="40000"/>
          </a:schemeClr>
        </a:solidFill>
        <a:ln>
          <a:solidFill>
            <a:schemeClr val="bg1">
              <a:lumMod val="75000"/>
            </a:schemeClr>
          </a:solidFill>
        </a:ln>
        <a:effectLst>
          <a:outerShdw blurRad="50800" dist="38100" dir="13500000" algn="br"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946659CF-A671-4884-B151-4EF5A34D3CA9}" type="TxLink">
            <a:rPr lang="en-US" sz="1600" b="0" i="0" u="none" strike="noStrike">
              <a:solidFill>
                <a:schemeClr val="bg1"/>
              </a:solidFill>
              <a:latin typeface="Aptos ExtraBold" panose="020B0004020202020204" pitchFamily="34" charset="0"/>
              <a:cs typeface="Arial"/>
            </a:rPr>
            <a:pPr algn="ctr"/>
            <a:t>207</a:t>
          </a:fld>
          <a:endParaRPr lang="en-NZ" sz="1600">
            <a:solidFill>
              <a:schemeClr val="bg1"/>
            </a:solidFill>
            <a:latin typeface="Aptos ExtraBold" panose="020B0004020202020204" pitchFamily="34" charset="0"/>
          </a:endParaRPr>
        </a:p>
      </xdr:txBody>
    </xdr:sp>
    <xdr:clientData/>
  </xdr:twoCellAnchor>
  <xdr:twoCellAnchor>
    <xdr:from>
      <xdr:col>0</xdr:col>
      <xdr:colOff>143933</xdr:colOff>
      <xdr:row>2</xdr:row>
      <xdr:rowOff>30480</xdr:rowOff>
    </xdr:from>
    <xdr:to>
      <xdr:col>1</xdr:col>
      <xdr:colOff>509693</xdr:colOff>
      <xdr:row>3</xdr:row>
      <xdr:rowOff>46567</xdr:rowOff>
    </xdr:to>
    <xdr:sp macro="" textlink="">
      <xdr:nvSpPr>
        <xdr:cNvPr id="39" name="TextBox 38">
          <a:extLst>
            <a:ext uri="{FF2B5EF4-FFF2-40B4-BE49-F238E27FC236}">
              <a16:creationId xmlns:a16="http://schemas.microsoft.com/office/drawing/2014/main" id="{932A4BD8-A64D-496F-842D-6674E491011A}"/>
            </a:ext>
          </a:extLst>
        </xdr:cNvPr>
        <xdr:cNvSpPr txBox="1"/>
      </xdr:nvSpPr>
      <xdr:spPr>
        <a:xfrm>
          <a:off x="143933" y="479213"/>
          <a:ext cx="1034627" cy="19388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NZ" sz="900" b="1">
              <a:solidFill>
                <a:schemeClr val="bg1"/>
              </a:solidFill>
            </a:rPr>
            <a:t>Total  Calls</a:t>
          </a:r>
        </a:p>
      </xdr:txBody>
    </xdr:sp>
    <xdr:clientData/>
  </xdr:twoCellAnchor>
  <xdr:oneCellAnchor>
    <xdr:from>
      <xdr:col>0</xdr:col>
      <xdr:colOff>43855</xdr:colOff>
      <xdr:row>3</xdr:row>
      <xdr:rowOff>157480</xdr:rowOff>
    </xdr:from>
    <xdr:ext cx="246824" cy="243840"/>
    <xdr:pic>
      <xdr:nvPicPr>
        <xdr:cNvPr id="40" name="Graphic 39" descr="Receiver with solid fill">
          <a:extLst>
            <a:ext uri="{FF2B5EF4-FFF2-40B4-BE49-F238E27FC236}">
              <a16:creationId xmlns:a16="http://schemas.microsoft.com/office/drawing/2014/main" id="{7F64C6EB-36AE-48C6-A7E7-9A5372210CA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855" y="784013"/>
          <a:ext cx="246824" cy="243840"/>
        </a:xfrm>
        <a:prstGeom prst="rect">
          <a:avLst/>
        </a:prstGeom>
      </xdr:spPr>
    </xdr:pic>
    <xdr:clientData/>
  </xdr:oneCellAnchor>
  <xdr:twoCellAnchor>
    <xdr:from>
      <xdr:col>0</xdr:col>
      <xdr:colOff>166794</xdr:colOff>
      <xdr:row>4</xdr:row>
      <xdr:rowOff>86359</xdr:rowOff>
    </xdr:from>
    <xdr:to>
      <xdr:col>1</xdr:col>
      <xdr:colOff>509694</xdr:colOff>
      <xdr:row>5</xdr:row>
      <xdr:rowOff>116838</xdr:rowOff>
    </xdr:to>
    <xdr:sp macro="" textlink="'Pivot Tables'!A15">
      <xdr:nvSpPr>
        <xdr:cNvPr id="41" name="TextBox 40">
          <a:extLst>
            <a:ext uri="{FF2B5EF4-FFF2-40B4-BE49-F238E27FC236}">
              <a16:creationId xmlns:a16="http://schemas.microsoft.com/office/drawing/2014/main" id="{D5B1CB81-C2B6-45C5-BA67-DC33DA3E3F85}"/>
            </a:ext>
          </a:extLst>
        </xdr:cNvPr>
        <xdr:cNvSpPr txBox="1"/>
      </xdr:nvSpPr>
      <xdr:spPr>
        <a:xfrm>
          <a:off x="166794" y="899159"/>
          <a:ext cx="1011767" cy="216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4469D2-5BEE-4C06-86AF-2DB63B8736F0}" type="TxLink">
            <a:rPr lang="en-US" sz="900" b="1" i="0" u="none" strike="noStrike">
              <a:solidFill>
                <a:schemeClr val="bg1"/>
              </a:solidFill>
              <a:latin typeface="Arial"/>
              <a:cs typeface="Arial"/>
            </a:rPr>
            <a:pPr algn="ctr"/>
            <a:t>207</a:t>
          </a:fld>
          <a:endParaRPr lang="en-NZ" sz="900" b="1">
            <a:solidFill>
              <a:schemeClr val="bg1"/>
            </a:solidFill>
          </a:endParaRPr>
        </a:p>
      </xdr:txBody>
    </xdr:sp>
    <xdr:clientData/>
  </xdr:twoCellAnchor>
  <xdr:twoCellAnchor>
    <xdr:from>
      <xdr:col>0</xdr:col>
      <xdr:colOff>22860</xdr:colOff>
      <xdr:row>22</xdr:row>
      <xdr:rowOff>42334</xdr:rowOff>
    </xdr:from>
    <xdr:to>
      <xdr:col>2</xdr:col>
      <xdr:colOff>41910</xdr:colOff>
      <xdr:row>26</xdr:row>
      <xdr:rowOff>131445</xdr:rowOff>
    </xdr:to>
    <xdr:sp macro="" textlink="'Pivot Tables'!$E$4">
      <xdr:nvSpPr>
        <xdr:cNvPr id="42" name="Rectangle: Rounded Corners 41">
          <a:extLst>
            <a:ext uri="{FF2B5EF4-FFF2-40B4-BE49-F238E27FC236}">
              <a16:creationId xmlns:a16="http://schemas.microsoft.com/office/drawing/2014/main" id="{3B842F0E-CE63-4E75-BB73-E2B3548E5E51}"/>
            </a:ext>
          </a:extLst>
        </xdr:cNvPr>
        <xdr:cNvSpPr/>
      </xdr:nvSpPr>
      <xdr:spPr>
        <a:xfrm>
          <a:off x="22860" y="4284134"/>
          <a:ext cx="1356783" cy="842644"/>
        </a:xfrm>
        <a:prstGeom prst="roundRect">
          <a:avLst/>
        </a:prstGeom>
        <a:solidFill>
          <a:schemeClr val="tx2">
            <a:lumMod val="60000"/>
            <a:lumOff val="40000"/>
          </a:schemeClr>
        </a:solidFill>
        <a:ln>
          <a:solidFill>
            <a:schemeClr val="bg1">
              <a:lumMod val="75000"/>
            </a:schemeClr>
          </a:solidFill>
        </a:ln>
        <a:effectLst>
          <a:outerShdw blurRad="50800" dist="38100" dir="13500000" algn="br"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7EAE517B-40A0-4EFE-90DE-B29170F2E9AA}" type="TxLink">
            <a:rPr lang="en-US" sz="1600" b="0" i="0" u="none" strike="noStrike">
              <a:solidFill>
                <a:schemeClr val="bg1"/>
              </a:solidFill>
              <a:latin typeface="Aptos ExtraBold" panose="020B0004020202020204" pitchFamily="34" charset="0"/>
              <a:cs typeface="Arial"/>
            </a:rPr>
            <a:pPr algn="ctr"/>
            <a:t>60</a:t>
          </a:fld>
          <a:endParaRPr lang="en-NZ" sz="1600">
            <a:solidFill>
              <a:schemeClr val="bg1"/>
            </a:solidFill>
            <a:latin typeface="Aptos ExtraBold" panose="020B0004020202020204" pitchFamily="34" charset="0"/>
          </a:endParaRPr>
        </a:p>
      </xdr:txBody>
    </xdr:sp>
    <xdr:clientData/>
  </xdr:twoCellAnchor>
  <xdr:twoCellAnchor>
    <xdr:from>
      <xdr:col>0</xdr:col>
      <xdr:colOff>175260</xdr:colOff>
      <xdr:row>22</xdr:row>
      <xdr:rowOff>152399</xdr:rowOff>
    </xdr:from>
    <xdr:to>
      <xdr:col>1</xdr:col>
      <xdr:colOff>541020</xdr:colOff>
      <xdr:row>23</xdr:row>
      <xdr:rowOff>160019</xdr:rowOff>
    </xdr:to>
    <xdr:sp macro="" textlink="">
      <xdr:nvSpPr>
        <xdr:cNvPr id="43" name="TextBox 42">
          <a:extLst>
            <a:ext uri="{FF2B5EF4-FFF2-40B4-BE49-F238E27FC236}">
              <a16:creationId xmlns:a16="http://schemas.microsoft.com/office/drawing/2014/main" id="{4AD9E4FE-4876-404E-A24A-DC216C16B2EE}"/>
            </a:ext>
          </a:extLst>
        </xdr:cNvPr>
        <xdr:cNvSpPr txBox="1"/>
      </xdr:nvSpPr>
      <xdr:spPr>
        <a:xfrm>
          <a:off x="175260" y="4008119"/>
          <a:ext cx="1036320" cy="1828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NZ" sz="900" b="1">
              <a:solidFill>
                <a:schemeClr val="bg1"/>
              </a:solidFill>
            </a:rPr>
            <a:t>Happy </a:t>
          </a:r>
          <a:r>
            <a:rPr lang="en-NZ" sz="900" b="1" baseline="0">
              <a:solidFill>
                <a:schemeClr val="bg1"/>
              </a:solidFill>
            </a:rPr>
            <a:t>Callers</a:t>
          </a:r>
          <a:endParaRPr lang="en-NZ" sz="900" b="1">
            <a:solidFill>
              <a:schemeClr val="bg1"/>
            </a:solidFill>
          </a:endParaRPr>
        </a:p>
      </xdr:txBody>
    </xdr:sp>
    <xdr:clientData/>
  </xdr:twoCellAnchor>
  <xdr:twoCellAnchor>
    <xdr:from>
      <xdr:col>0</xdr:col>
      <xdr:colOff>198120</xdr:colOff>
      <xdr:row>25</xdr:row>
      <xdr:rowOff>83819</xdr:rowOff>
    </xdr:from>
    <xdr:to>
      <xdr:col>1</xdr:col>
      <xdr:colOff>541020</xdr:colOff>
      <xdr:row>26</xdr:row>
      <xdr:rowOff>114299</xdr:rowOff>
    </xdr:to>
    <xdr:sp macro="" textlink="'Pivot Tables'!E15">
      <xdr:nvSpPr>
        <xdr:cNvPr id="45" name="TextBox 44">
          <a:extLst>
            <a:ext uri="{FF2B5EF4-FFF2-40B4-BE49-F238E27FC236}">
              <a16:creationId xmlns:a16="http://schemas.microsoft.com/office/drawing/2014/main" id="{E22AA25E-93A4-42B6-B69A-C3B56AAB150F}"/>
            </a:ext>
          </a:extLst>
        </xdr:cNvPr>
        <xdr:cNvSpPr txBox="1"/>
      </xdr:nvSpPr>
      <xdr:spPr>
        <a:xfrm>
          <a:off x="198120" y="4465319"/>
          <a:ext cx="10134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A6E778-7F7B-4AF3-8E1F-CD0D5127094F}" type="TxLink">
            <a:rPr lang="en-US" sz="900" b="1" i="0" u="none" strike="noStrike">
              <a:solidFill>
                <a:schemeClr val="bg1"/>
              </a:solidFill>
              <a:latin typeface="Arial"/>
              <a:cs typeface="Arial"/>
            </a:rPr>
            <a:pPr algn="ctr"/>
            <a:t>60</a:t>
          </a:fld>
          <a:endParaRPr lang="en-NZ" sz="900" b="1">
            <a:solidFill>
              <a:schemeClr val="bg1"/>
            </a:solidFill>
          </a:endParaRPr>
        </a:p>
      </xdr:txBody>
    </xdr:sp>
    <xdr:clientData/>
  </xdr:twoCellAnchor>
  <xdr:twoCellAnchor editAs="oneCell">
    <xdr:from>
      <xdr:col>0</xdr:col>
      <xdr:colOff>0</xdr:colOff>
      <xdr:row>9</xdr:row>
      <xdr:rowOff>22861</xdr:rowOff>
    </xdr:from>
    <xdr:to>
      <xdr:col>0</xdr:col>
      <xdr:colOff>266700</xdr:colOff>
      <xdr:row>10</xdr:row>
      <xdr:rowOff>155662</xdr:rowOff>
    </xdr:to>
    <xdr:pic>
      <xdr:nvPicPr>
        <xdr:cNvPr id="47" name="Graphic 46" descr="Shopping cart with solid fill">
          <a:extLst>
            <a:ext uri="{FF2B5EF4-FFF2-40B4-BE49-F238E27FC236}">
              <a16:creationId xmlns:a16="http://schemas.microsoft.com/office/drawing/2014/main" id="{3C7863DB-C9DB-4DFB-88B0-B72845787D3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1600201"/>
          <a:ext cx="266700" cy="316528"/>
        </a:xfrm>
        <a:prstGeom prst="rect">
          <a:avLst/>
        </a:prstGeom>
      </xdr:spPr>
    </xdr:pic>
    <xdr:clientData/>
  </xdr:twoCellAnchor>
  <xdr:twoCellAnchor editAs="oneCell">
    <xdr:from>
      <xdr:col>0</xdr:col>
      <xdr:colOff>0</xdr:colOff>
      <xdr:row>14</xdr:row>
      <xdr:rowOff>114694</xdr:rowOff>
    </xdr:from>
    <xdr:to>
      <xdr:col>0</xdr:col>
      <xdr:colOff>297180</xdr:colOff>
      <xdr:row>16</xdr:row>
      <xdr:rowOff>47498</xdr:rowOff>
    </xdr:to>
    <xdr:pic>
      <xdr:nvPicPr>
        <xdr:cNvPr id="50" name="Graphic 49" descr="Hourglass Finished with solid fill">
          <a:extLst>
            <a:ext uri="{FF2B5EF4-FFF2-40B4-BE49-F238E27FC236}">
              <a16:creationId xmlns:a16="http://schemas.microsoft.com/office/drawing/2014/main" id="{F978FB3E-4676-4602-825D-C9FDDAE6415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0" y="2568334"/>
          <a:ext cx="297180" cy="300257"/>
        </a:xfrm>
        <a:prstGeom prst="rect">
          <a:avLst/>
        </a:prstGeom>
      </xdr:spPr>
    </xdr:pic>
    <xdr:clientData/>
  </xdr:twoCellAnchor>
  <xdr:twoCellAnchor editAs="oneCell">
    <xdr:from>
      <xdr:col>0</xdr:col>
      <xdr:colOff>68580</xdr:colOff>
      <xdr:row>19</xdr:row>
      <xdr:rowOff>7620</xdr:rowOff>
    </xdr:from>
    <xdr:to>
      <xdr:col>0</xdr:col>
      <xdr:colOff>320040</xdr:colOff>
      <xdr:row>20</xdr:row>
      <xdr:rowOff>176374</xdr:rowOff>
    </xdr:to>
    <xdr:pic>
      <xdr:nvPicPr>
        <xdr:cNvPr id="51" name="Graphic 50" descr="Rating Star with solid fill">
          <a:extLst>
            <a:ext uri="{FF2B5EF4-FFF2-40B4-BE49-F238E27FC236}">
              <a16:creationId xmlns:a16="http://schemas.microsoft.com/office/drawing/2014/main" id="{1E7BED40-A8EE-4473-8A29-875CD11CBA3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68580" y="3337560"/>
          <a:ext cx="251460" cy="349941"/>
        </a:xfrm>
        <a:prstGeom prst="rect">
          <a:avLst/>
        </a:prstGeom>
      </xdr:spPr>
    </xdr:pic>
    <xdr:clientData/>
  </xdr:twoCellAnchor>
  <xdr:twoCellAnchor editAs="oneCell">
    <xdr:from>
      <xdr:col>0</xdr:col>
      <xdr:colOff>64068</xdr:colOff>
      <xdr:row>24</xdr:row>
      <xdr:rowOff>38100</xdr:rowOff>
    </xdr:from>
    <xdr:to>
      <xdr:col>0</xdr:col>
      <xdr:colOff>365759</xdr:colOff>
      <xdr:row>25</xdr:row>
      <xdr:rowOff>149892</xdr:rowOff>
    </xdr:to>
    <xdr:pic>
      <xdr:nvPicPr>
        <xdr:cNvPr id="52" name="Graphic 51" descr="Star-struck face outline with solid fill">
          <a:extLst>
            <a:ext uri="{FF2B5EF4-FFF2-40B4-BE49-F238E27FC236}">
              <a16:creationId xmlns:a16="http://schemas.microsoft.com/office/drawing/2014/main" id="{B5536BC4-0C51-4779-B120-FCB9DF87891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4068" y="4244340"/>
          <a:ext cx="301691" cy="287052"/>
        </a:xfrm>
        <a:prstGeom prst="rect">
          <a:avLst/>
        </a:prstGeom>
      </xdr:spPr>
    </xdr:pic>
    <xdr:clientData/>
  </xdr:twoCellAnchor>
  <xdr:twoCellAnchor editAs="oneCell">
    <xdr:from>
      <xdr:col>19</xdr:col>
      <xdr:colOff>152399</xdr:colOff>
      <xdr:row>1</xdr:row>
      <xdr:rowOff>227752</xdr:rowOff>
    </xdr:from>
    <xdr:to>
      <xdr:col>22</xdr:col>
      <xdr:colOff>389466</xdr:colOff>
      <xdr:row>29</xdr:row>
      <xdr:rowOff>127000</xdr:rowOff>
    </xdr:to>
    <mc:AlternateContent xmlns:mc="http://schemas.openxmlformats.org/markup-compatibility/2006">
      <mc:Choice xmlns:a14="http://schemas.microsoft.com/office/drawing/2010/main" Requires="a14">
        <xdr:graphicFrame macro="">
          <xdr:nvGraphicFramePr>
            <xdr:cNvPr id="53" name="Representative">
              <a:extLst>
                <a:ext uri="{FF2B5EF4-FFF2-40B4-BE49-F238E27FC236}">
                  <a16:creationId xmlns:a16="http://schemas.microsoft.com/office/drawing/2014/main" id="{B2CFB71C-6938-47AF-940D-2F0630DD865A}"/>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13021732" y="447885"/>
              <a:ext cx="2243667" cy="5207848"/>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104140</xdr:colOff>
      <xdr:row>1</xdr:row>
      <xdr:rowOff>212514</xdr:rowOff>
    </xdr:from>
    <xdr:to>
      <xdr:col>7</xdr:col>
      <xdr:colOff>386080</xdr:colOff>
      <xdr:row>12</xdr:row>
      <xdr:rowOff>82974</xdr:rowOff>
    </xdr:to>
    <xdr:graphicFrame macro="">
      <xdr:nvGraphicFramePr>
        <xdr:cNvPr id="55" name="Chart 54">
          <a:extLst>
            <a:ext uri="{FF2B5EF4-FFF2-40B4-BE49-F238E27FC236}">
              <a16:creationId xmlns:a16="http://schemas.microsoft.com/office/drawing/2014/main" id="{A0B487E4-A3C3-4958-B243-DA5EDE57F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459741</xdr:colOff>
      <xdr:row>1</xdr:row>
      <xdr:rowOff>219286</xdr:rowOff>
    </xdr:from>
    <xdr:to>
      <xdr:col>11</xdr:col>
      <xdr:colOff>612141</xdr:colOff>
      <xdr:row>12</xdr:row>
      <xdr:rowOff>76199</xdr:rowOff>
    </xdr:to>
    <xdr:graphicFrame macro="">
      <xdr:nvGraphicFramePr>
        <xdr:cNvPr id="56" name="Chart 55">
          <a:extLst>
            <a:ext uri="{FF2B5EF4-FFF2-40B4-BE49-F238E27FC236}">
              <a16:creationId xmlns:a16="http://schemas.microsoft.com/office/drawing/2014/main" id="{A3C4CECD-2A73-4B91-AA9B-C52B1B9EE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113454</xdr:colOff>
      <xdr:row>12</xdr:row>
      <xdr:rowOff>117687</xdr:rowOff>
    </xdr:from>
    <xdr:to>
      <xdr:col>6</xdr:col>
      <xdr:colOff>110066</xdr:colOff>
      <xdr:row>28</xdr:row>
      <xdr:rowOff>135466</xdr:rowOff>
    </xdr:to>
    <xdr:graphicFrame macro="">
      <xdr:nvGraphicFramePr>
        <xdr:cNvPr id="64" name="Chart 63">
          <a:extLst>
            <a:ext uri="{FF2B5EF4-FFF2-40B4-BE49-F238E27FC236}">
              <a16:creationId xmlns:a16="http://schemas.microsoft.com/office/drawing/2014/main" id="{DB9295E7-5918-429F-A3B6-BCCE0DFBA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515620</xdr:colOff>
      <xdr:row>12</xdr:row>
      <xdr:rowOff>118534</xdr:rowOff>
    </xdr:from>
    <xdr:to>
      <xdr:col>11</xdr:col>
      <xdr:colOff>601135</xdr:colOff>
      <xdr:row>28</xdr:row>
      <xdr:rowOff>160868</xdr:rowOff>
    </xdr:to>
    <xdr:graphicFrame macro="">
      <xdr:nvGraphicFramePr>
        <xdr:cNvPr id="66" name="Chart 65">
          <a:extLst>
            <a:ext uri="{FF2B5EF4-FFF2-40B4-BE49-F238E27FC236}">
              <a16:creationId xmlns:a16="http://schemas.microsoft.com/office/drawing/2014/main" id="{D8C738B6-C0B6-4F3A-B005-D99836350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677333</xdr:colOff>
      <xdr:row>21</xdr:row>
      <xdr:rowOff>8467</xdr:rowOff>
    </xdr:from>
    <xdr:to>
      <xdr:col>15</xdr:col>
      <xdr:colOff>372532</xdr:colOff>
      <xdr:row>29</xdr:row>
      <xdr:rowOff>143934</xdr:rowOff>
    </xdr:to>
    <xdr:graphicFrame macro="">
      <xdr:nvGraphicFramePr>
        <xdr:cNvPr id="95" name="Chart 94">
          <a:extLst>
            <a:ext uri="{FF2B5EF4-FFF2-40B4-BE49-F238E27FC236}">
              <a16:creationId xmlns:a16="http://schemas.microsoft.com/office/drawing/2014/main" id="{EF9BBECC-6634-449C-9232-CAEDA7C8A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372533</xdr:colOff>
      <xdr:row>20</xdr:row>
      <xdr:rowOff>228597</xdr:rowOff>
    </xdr:from>
    <xdr:to>
      <xdr:col>19</xdr:col>
      <xdr:colOff>8467</xdr:colOff>
      <xdr:row>29</xdr:row>
      <xdr:rowOff>143934</xdr:rowOff>
    </xdr:to>
    <xdr:graphicFrame macro="">
      <xdr:nvGraphicFramePr>
        <xdr:cNvPr id="2" name="Chart 1">
          <a:extLst>
            <a:ext uri="{FF2B5EF4-FFF2-40B4-BE49-F238E27FC236}">
              <a16:creationId xmlns:a16="http://schemas.microsoft.com/office/drawing/2014/main" id="{9C16035A-C9B5-4868-8809-06097B2E9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165402</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305957</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24848</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13</xdr:row>
      <xdr:rowOff>4016</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173194</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inderpal singh" refreshedDate="46289.933204745372" backgroundQuery="1" createdVersion="8" refreshedVersion="8" minRefreshableVersion="3" recordCount="0" supportSubquery="1" supportAdvancedDrill="1" xr:uid="{708D66B7-9F4A-4B37-9C1B-1057B98E3F53}">
  <cacheSource type="external" connectionId="1"/>
  <cacheFields count="5">
    <cacheField name="[calls].[Day of week].[Day of week]" caption="Day of week" numFmtId="0" hierarchy="8" level="1">
      <sharedItems count="7">
        <s v="Friday"/>
        <s v="Monday"/>
        <s v="Saturday"/>
        <s v="Sunday"/>
        <s v="Thursday"/>
        <s v="Tuesday"/>
        <s v="Wednesday"/>
      </sharedItems>
    </cacheField>
    <cacheField name="[customers].[City].[City]" caption="City" numFmtId="0" hierarchy="15" level="1">
      <sharedItems count="3">
        <s v="Cincinnati"/>
        <s v="Cleveland"/>
        <s v="Columbus"/>
      </sharedItems>
    </cacheField>
    <cacheField name="[calls].[Representative].[Representative]" caption="Representative" numFmtId="0" hierarchy="3" level="1">
      <sharedItems count="5">
        <s v="R01"/>
        <s v="R02"/>
        <s v="R03"/>
        <s v="R04"/>
        <s v="R05"/>
      </sharedItems>
    </cacheField>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3"/>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4"/>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inderpal singh" refreshedDate="46290.855740393519" backgroundQuery="1" createdVersion="8" refreshedVersion="8" minRefreshableVersion="3" recordCount="0" supportSubquery="1" supportAdvancedDrill="1" xr:uid="{84EA34F6-EB75-4271-B59A-AA4413B9F62A}">
  <cacheSource type="external" connectionId="1"/>
  <cacheFields count="4">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inderpal singh" refreshedDate="46290.90212233796" backgroundQuery="1" createdVersion="8" refreshedVersion="8" minRefreshableVersion="3" recordCount="0" supportSubquery="1" supportAdvancedDrill="1" xr:uid="{986F7772-26AA-4DA6-85DA-1AFF36081944}">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unt="5">
        <s v="R01"/>
        <s v="R02"/>
        <s v="R03"/>
        <s v="R04"/>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inderpal singh" refreshedDate="46290.927204513886" backgroundQuery="1" createdVersion="8" refreshedVersion="8" minRefreshableVersion="3" recordCount="0" supportSubquery="1" supportAdvancedDrill="1" xr:uid="{736A1DD9-7EB1-4A6A-A8C5-6B0FBAD2DC8D}">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inderpal singh" refreshedDate="46290.949823495372" backgroundQuery="1" createdVersion="8" refreshedVersion="8" minRefreshableVersion="3" recordCount="0" supportSubquery="1" supportAdvancedDrill="1" xr:uid="{B5CFCD39-5C53-42B1-B7D0-51D201B0B03C}">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Happy Customers]" caption="Happy Customer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Happy Customers]" caption="Happy Customer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inderpal singh" refreshedDate="46290.949823842595" backgroundQuery="1" createdVersion="8" refreshedVersion="8" minRefreshableVersion="3" recordCount="0" supportSubquery="1" supportAdvancedDrill="1" xr:uid="{B43BCBB8-B611-4C8A-B45B-3AE0C7B9F42F}">
  <cacheSource type="external" connectionId="1"/>
  <cacheFields count="5">
    <cacheField name="[Measures].[Call Count]" caption="Call Count" numFmtId="0" hierarchy="17" level="32767"/>
    <cacheField name="[calls].[Date of Call].[Date of Call]" caption="Date of Call" numFmtId="0" hierarchy="4" level="1">
      <sharedItems containsSemiMixedTypes="0" containsNonDate="0" containsDate="1" containsString="0" minDate="2023-01-01T00:00:00" maxDate="2023-02-01T00:00:00" count="28">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sharedItems>
    </cacheField>
    <cacheField name="[calls].[Date of Call (Month)].[Date of Call (Month)]" caption="Date of Call (Month)" numFmtId="0" hierarchy="11" level="1">
      <sharedItems count="12">
        <s v="Jan"/>
        <s v="Feb"/>
        <s v="Mar"/>
        <s v="Apr"/>
        <s v="May"/>
        <s v="Jun"/>
        <s v="Jul"/>
        <s v="Aug"/>
        <s v="Sept"/>
        <s v="Oct"/>
        <s v="Nov"/>
        <s v="Dec"/>
      </sharedItems>
    </cacheField>
    <cacheField name="[calls].[Representative].[Representative]" caption="Representative" numFmtId="0" hierarchy="3" level="1">
      <sharedItems containsSemiMixedTypes="0" containsNonDate="0" containsString="0"/>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inderpal singh" refreshedDate="46290.949824074072" backgroundQuery="1" createdVersion="8" refreshedVersion="8" minRefreshableVersion="3" recordCount="0" supportSubquery="1" supportAdvancedDrill="1" xr:uid="{616D3DE7-0798-4991-9EA9-C344D6DB01A2}">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inderpal singh" refreshedDate="46290.949824537034" backgroundQuery="1" createdVersion="8" refreshedVersion="8" minRefreshableVersion="3" recordCount="0" supportSubquery="1" supportAdvancedDrill="1" xr:uid="{F8A42E0A-816E-4097-B248-0E7DEE8950EE}">
  <cacheSource type="external" connectionId="1"/>
  <cacheFields count="4">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unt="1">
        <s v="R03"/>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inderpal singh" refreshedDate="46290.949824884257" backgroundQuery="1" createdVersion="8" refreshedVersion="8" minRefreshableVersion="3" recordCount="0" supportSubquery="1" supportAdvancedDrill="1" xr:uid="{D0C738C3-DF0B-4B73-9AF0-67284D133994}">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Happy Customers]" caption="Happy Customer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Happy Customers]" caption="Happy Customer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inderpal singh" refreshedDate="46290.949825231481" backgroundQuery="1" createdVersion="8" refreshedVersion="8" minRefreshableVersion="3" recordCount="0" supportSubquery="1" supportAdvancedDrill="1" xr:uid="{5F243383-0C95-4BB5-82BF-93EF2290A81E}">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unt="1">
        <s v="R03"/>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inderpal singh" refreshedDate="46290.949825578704" backgroundQuery="1" createdVersion="8" refreshedVersion="8" minRefreshableVersion="3" recordCount="0" supportSubquery="1" supportAdvancedDrill="1" xr:uid="{FF865E92-8954-4392-9FF6-D1742C0407E4}">
  <cacheSource type="external" connectionId="1"/>
  <cacheFields count="2">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unt="1">
        <s v="R03"/>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inderpal singh" refreshedDate="46290.949825925927" backgroundQuery="1" createdVersion="8" refreshedVersion="8" minRefreshableVersion="3" recordCount="0" supportSubquery="1" supportAdvancedDrill="1" xr:uid="{39E371C3-0D06-4E9B-AEDC-7001C19C5C7F}">
  <cacheSource type="external" connectionId="1"/>
  <cacheFields count="2">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unt="1">
        <s v="R03"/>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inderpal singh" refreshedDate="46290.94982627315" backgroundQuery="1" createdVersion="8" refreshedVersion="8" minRefreshableVersion="3" recordCount="0" supportSubquery="1" supportAdvancedDrill="1" xr:uid="{2DACAF4C-A4D9-4164-BB84-BFF98D5A6C5C}">
  <cacheSource type="external" connectionId="1"/>
  <cacheFields count="5">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ustomers].[City].[City]" caption="City" numFmtId="0" hierarchy="15" level="1">
      <sharedItems count="3">
        <s v="Cincinnati"/>
        <s v="Cleveland"/>
        <s v="Columbus"/>
      </sharedItems>
    </cacheField>
    <cacheField name="[customers].[Gender].[Gender]" caption="Gender" numFmtId="0" hierarchy="13" level="1">
      <sharedItems count="2">
        <s v="Female"/>
        <s v="Male"/>
      </sharedItems>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4"/>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inderpal singh" refreshedDate="46290.949826620374" backgroundQuery="1" createdVersion="8" refreshedVersion="8" minRefreshableVersion="3" recordCount="0" supportSubquery="1" supportAdvancedDrill="1" xr:uid="{8C10B656-B858-4003-B646-1AA336F0367D}">
  <cacheSource type="external" connectionId="1"/>
  <cacheFields count="4">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2"/>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inderpal singh" refreshedDate="46290.949827083336" backgroundQuery="1" createdVersion="8" refreshedVersion="8" minRefreshableVersion="3" recordCount="0" supportSubquery="1" supportAdvancedDrill="1" xr:uid="{9F55CBCB-2E2E-408A-AFA4-39B9331F0053}">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unt="1">
        <s v="R03"/>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inderpal singh" refreshedDate="46290.949827430559" backgroundQuery="1" createdVersion="8" refreshedVersion="8" minRefreshableVersion="3" recordCount="0" supportSubquery="1" supportAdvancedDrill="1" xr:uid="{4BE3236E-3263-4E2B-8B0F-8D4FF0AF2642}">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unt="1">
        <s v="R03"/>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inderpal singh" refreshedDate="46289.922927546293" backgroundQuery="1" createdVersion="3" refreshedVersion="8" minRefreshableVersion="3" recordCount="0" supportSubquery="1" supportAdvancedDrill="1" xr:uid="{3F5886EE-DF6D-4BA5-AB77-22FD15F831F1}">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20693209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05512A-37CC-43D0-B3B0-7847FC13FBFB}" name="PivotTable39"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9">
  <location ref="O11:P17" firstHeaderRow="1" firstDataRow="1" firstDataCol="1"/>
  <pivotFields count="3">
    <pivotField allDrilled="1" subtotalTop="0" showAll="0" sortType="descending" defaultSubtotal="0" defaultAttributeDrillState="1">
      <items count="7">
        <item x="3"/>
        <item x="2"/>
        <item x="0"/>
        <item x="4"/>
        <item x="6"/>
        <item x="5"/>
        <item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fld="2" subtotal="count" baseField="0" baseItem="0"/>
  </dataFields>
  <chartFormats count="2">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D6D297-6324-4F28-93DA-EB5C298C02A7}" name="Business Summary" cacheId="6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FD5624-56D7-4371-8018-6847C6846F17}" name="Calls" cacheId="703" applyNumberFormats="0" applyBorderFormats="0" applyFontFormats="0" applyPatternFormats="0" applyAlignmentFormats="0" applyWidthHeightFormats="1" dataCaption="Values" showMissing="0" updatedVersion="8" minRefreshableVersion="3" useAutoFormatting="1" subtotalHiddenItems="1" rowGrandTotals="0" colGrandTotals="0" itemPrintTitles="1" createdVersion="8" indent="0" outline="1" outlineData="1" multipleFieldFilters="0" chartFormat="26" customListSort="0">
  <location ref="K21:L22" firstHeaderRow="1" firstDataRow="1" firstDataCol="1"/>
  <pivotFields count="3">
    <pivotField allDrilled="1" subtotalTop="0" showAll="0" sortType="descending" defaultSubtotal="0" defaultAttributeDrillState="1">
      <items count="7">
        <item x="3"/>
        <item x="2"/>
        <item x="0"/>
        <item x="4"/>
        <item x="6"/>
        <item x="5"/>
        <item x="1"/>
      </items>
    </pivotField>
    <pivotField dataField="1" subtotalTop="0" showAll="0" defaultSubtotal="0"/>
    <pivotField axis="axisRow" allDrilled="1" subtotalTop="0" showAll="0" sortType="descending" defaultSubtotal="0" defaultAttributeDrillState="1">
      <items count="1">
        <item s="1" x="0"/>
      </items>
    </pivotField>
  </pivotFields>
  <rowFields count="1">
    <field x="2"/>
  </rowFields>
  <rowItems count="1">
    <i>
      <x/>
    </i>
  </rowItems>
  <colItems count="1">
    <i/>
  </colItems>
  <dataFields count="1">
    <dataField fld="1" subtotal="count"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F89FE2-3C2C-41A6-B343-65501E2C03E0}" name="Rep Satisfaction" cacheId="697" applyNumberFormats="0" applyBorderFormats="0" applyFontFormats="0" applyPatternFormats="0" applyAlignmentFormats="0" applyWidthHeightFormats="1" dataCaption="Values" showMissing="0" updatedVersion="8" minRefreshableVersion="3" enableDrill="0" useAutoFormatting="1" subtotalHiddenItems="1" itemPrintTitles="1" createdVersion="8" indent="0" showHeaders="0" outline="1" outlineData="1" multipleFieldFilters="0" chartFormat="36">
  <location ref="O45:P52" firstHeaderRow="1" firstDataRow="1" firstDataCol="1"/>
  <pivotFields count="4">
    <pivotField allDrilled="1" subtotalTop="0" showAll="0" sortType="descending" defaultSubtotal="0" defaultAttributeDrillState="1">
      <items count="7">
        <item x="3"/>
        <item x="2"/>
        <item x="0"/>
        <item x="4"/>
        <item x="6"/>
        <item x="5"/>
        <item x="1"/>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fld="1" subtotal="count" baseField="0" baseItem="0"/>
  </dataFields>
  <chartFormats count="2">
    <chartFormat chart="14"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D1F188-DAA4-46A6-AA75-E25EABA99978}" name="Unconnected Pivot"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location ref="L11:M17" firstHeaderRow="1" firstDataRow="1" firstDataCol="1"/>
  <pivotFields count="3">
    <pivotField allDrilled="1" subtotalTop="0" showAll="0" sortType="descending" defaultSubtotal="0" defaultAttributeDrillState="1">
      <items count="7">
        <item x="3"/>
        <item x="2"/>
        <item x="0"/>
        <item x="4"/>
        <item x="6"/>
        <item x="5"/>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fld="1" subtotal="count" baseField="0" baseItem="0"/>
  </dataFields>
  <chartFormats count="2">
    <chartFormat chart="14"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BCC622-C2AE-4E36-9236-F5F6417237C0}" name="Reps Pivot" cacheId="679" applyNumberFormats="0" applyBorderFormats="0" applyFontFormats="0" applyPatternFormats="0" applyAlignmentFormats="0" applyWidthHeightFormats="1" dataCaption="Values" showMissing="0" updatedVersion="8" minRefreshableVersion="3" useAutoFormatting="1" subtotalHiddenItems="1" rowGrandTotals="0" colGrandTotals="0" itemPrintTitles="1" createdVersion="8" indent="0" outline="1" outlineData="1" multipleFieldFilters="0" chartFormat="19" customListSort="0">
  <location ref="H21:J22" firstHeaderRow="0" firstDataRow="1" firstDataCol="1"/>
  <pivotFields count="4">
    <pivotField allDrilled="1" subtotalTop="0" showAll="0" sortType="descending" defaultSubtotal="0" defaultAttributeDrillState="1">
      <items count="7">
        <item x="3"/>
        <item x="2"/>
        <item x="0"/>
        <item x="4"/>
        <item x="6"/>
        <item x="5"/>
        <item x="1"/>
      </items>
    </pivotField>
    <pivotField dataField="1" subtotalTop="0" showAll="0" defaultSubtotal="0"/>
    <pivotField axis="axisRow" allDrilled="1" subtotalTop="0" showAll="0" sortType="descending" defaultSubtotal="0" defaultAttributeDrillState="1">
      <items count="1">
        <item s="1" x="0"/>
      </items>
    </pivotField>
    <pivotField dataField="1" subtotalTop="0" showAll="0" defaultSubtotal="0"/>
  </pivotFields>
  <rowFields count="1">
    <field x="2"/>
  </rowFields>
  <rowItems count="1">
    <i>
      <x/>
    </i>
  </rowItems>
  <colFields count="1">
    <field x="-2"/>
  </colFields>
  <colItems count="2">
    <i>
      <x/>
    </i>
    <i i="1">
      <x v="1"/>
    </i>
  </colItems>
  <dataFields count="2">
    <dataField fld="1" subtotal="count" baseField="0" baseItem="0"/>
    <dataField fld="3" subtotal="count"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7580ED-B679-4113-8648-290586754ACE}" name="PivotTable29" cacheId="6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9">
  <location ref="E42:H47" firstHeaderRow="1" firstDataRow="2" firstDataCol="1"/>
  <pivotFields count="5">
    <pivotField allDrilled="1" subtotalTop="0" showAll="0" sortType="descending" defaultSubtotal="0" defaultAttributeDrillState="1">
      <items count="7">
        <item x="3"/>
        <item x="2"/>
        <item x="0"/>
        <item x="4"/>
        <item x="6"/>
        <item x="5"/>
        <item x="1"/>
      </items>
    </pivotField>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4">
    <i>
      <x/>
    </i>
    <i>
      <x v="1"/>
    </i>
    <i>
      <x v="2"/>
    </i>
    <i t="grand">
      <x/>
    </i>
  </rowItems>
  <colFields count="1">
    <field x="3"/>
  </colFields>
  <colItems count="3">
    <i>
      <x/>
    </i>
    <i>
      <x v="1"/>
    </i>
    <i t="grand">
      <x/>
    </i>
  </colItems>
  <dataFields count="1">
    <dataField fld="1" subtotal="count" baseField="0" baseItem="0"/>
  </dataFields>
  <chartFormats count="3">
    <chartFormat chart="14" format="2" series="1">
      <pivotArea type="data" outline="0" fieldPosition="0">
        <references count="1">
          <reference field="4294967294" count="1" selected="0">
            <x v="0"/>
          </reference>
        </references>
      </pivotArea>
    </chartFormat>
    <chartFormat chart="28" format="4" series="1">
      <pivotArea type="data" outline="0" fieldPosition="0">
        <references count="2">
          <reference field="4294967294" count="1" selected="0">
            <x v="0"/>
          </reference>
          <reference field="3" count="1" selected="0">
            <x v="0"/>
          </reference>
        </references>
      </pivotArea>
    </chartFormat>
    <chartFormat chart="28" format="5" series="1">
      <pivotArea type="data" outline="0" fieldPosition="0">
        <references count="2">
          <reference field="4294967294" count="1" selected="0">
            <x v="0"/>
          </reference>
          <reference field="3" count="1" selected="0">
            <x v="1"/>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51FF73-4058-4552-A3B4-4789C740E613}" name="Weekly Trend" cacheId="6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E21:F29" firstHeaderRow="1" firstDataRow="1" firstDataCol="1"/>
  <pivotFields count="3">
    <pivotField axis="axisRow" allDrilled="1" subtotalTop="0" showAll="0" sortType="descending" defaultSubtotal="0" defaultAttributeDrillState="1">
      <items count="7">
        <item x="3"/>
        <item x="2"/>
        <item x="0"/>
        <item x="4"/>
        <item x="6"/>
        <item x="5"/>
        <item x="1"/>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1003CE-743B-4EF4-A268-66BE930896C5}" name="PivotTable28" cacheId="691" applyNumberFormats="0" applyBorderFormats="0" applyFontFormats="0" applyPatternFormats="0" applyAlignmentFormats="0" applyWidthHeightFormats="1" dataCaption="Values" showMissing="0" updatedVersion="8" minRefreshableVersion="3" useAutoFormatting="1" subtotalHiddenItems="1" rowGrandTotals="0" colGrandTotals="0" itemPrintTitles="1" createdVersion="8" indent="0" outline="1" outlineData="1" multipleFieldFilters="0" chartFormat="19" customListSort="0">
  <location ref="D38:D39" firstHeaderRow="1" firstDataRow="1" firstDataCol="1"/>
  <pivotFields count="2">
    <pivotField allDrilled="1" subtotalTop="0" showAll="0" sortType="descending" defaultSubtotal="0" defaultAttributeDrillState="1">
      <items count="7">
        <item x="3"/>
        <item x="2"/>
        <item x="0"/>
        <item x="4"/>
        <item x="6"/>
        <item x="5"/>
        <item x="1"/>
      </items>
    </pivotField>
    <pivotField axis="axisRow" allDrilled="1" subtotalTop="0" showAll="0" sortType="descending" defaultSubtotal="0" defaultAttributeDrillState="1">
      <items count="1">
        <item s="1" x="0"/>
      </items>
    </pivotField>
  </pivotFields>
  <rowFields count="1">
    <field x="1"/>
  </rowFields>
  <rowItems count="1">
    <i>
      <x/>
    </i>
  </rowItem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B29760-3893-4E3D-89CF-FEAF415794EB}" name="PivotTable37" cacheId="4" applyNumberFormats="0" applyBorderFormats="0" applyFontFormats="0" applyPatternFormats="0" applyAlignmentFormats="0" applyWidthHeightFormats="1" dataCaption="Values" showMissing="0" updatedVersion="8" minRefreshableVersion="3" useAutoFormatting="1" subtotalHiddenItems="1" rowGrandTotals="0" colGrandTotals="0" itemPrintTitles="1" createdVersion="8" indent="0" outline="1" outlineData="1" multipleFieldFilters="0" chartFormat="19" customListSort="0">
  <location ref="M32:O37" firstHeaderRow="0" firstDataRow="1" firstDataCol="1"/>
  <pivotFields count="4">
    <pivotField allDrilled="1" subtotalTop="0" showAll="0" sortType="descending" defaultSubtotal="0" defaultAttributeDrillState="1">
      <items count="7">
        <item x="3"/>
        <item x="2"/>
        <item x="0"/>
        <item x="4"/>
        <item x="6"/>
        <item x="5"/>
        <item x="1"/>
      </items>
    </pivotField>
    <pivotField dataField="1" subtotalTop="0" showAll="0" defaultSubtotal="0"/>
    <pivotField axis="axisRow" allDrilled="1" subtotalTop="0" showAll="0" sortType="descending" defaultSubtotal="0" defaultAttributeDrillState="1">
      <items count="5">
        <item x="4"/>
        <item x="3"/>
        <item x="2"/>
        <item x="1"/>
        <item x="0"/>
      </items>
    </pivotField>
    <pivotField dataField="1" subtotalTop="0" showAll="0" defaultSubtotal="0"/>
  </pivotFields>
  <rowFields count="1">
    <field x="2"/>
  </rowFields>
  <rowItems count="5">
    <i>
      <x/>
    </i>
    <i>
      <x v="1"/>
    </i>
    <i>
      <x v="2"/>
    </i>
    <i>
      <x v="3"/>
    </i>
    <i>
      <x v="4"/>
    </i>
  </rowItems>
  <colFields count="1">
    <field x="-2"/>
  </colFields>
  <colItems count="2">
    <i>
      <x/>
    </i>
    <i i="1">
      <x v="1"/>
    </i>
  </colItems>
  <dataFields count="2">
    <dataField fld="1" subtotal="count" baseField="0" baseItem="0"/>
    <dataField fld="3" subtotal="count"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242DAB-4AD3-47E6-BFB1-EFC930C4C48E}" name="PivotTable25" cacheId="688" applyNumberFormats="0" applyBorderFormats="0" applyFontFormats="0" applyPatternFormats="0" applyAlignmentFormats="0" applyWidthHeightFormats="1" dataCaption="Values" showMissing="0" updatedVersion="8" minRefreshableVersion="3" useAutoFormatting="1" subtotalHiddenItems="1" rowGrandTotals="0" colGrandTotals="0" itemPrintTitles="1" createdVersion="8" indent="0" outline="1" outlineData="1" multipleFieldFilters="0" chartFormat="19" customListSort="0">
  <location ref="E66:E67" firstHeaderRow="1" firstDataRow="1" firstDataCol="1"/>
  <pivotFields count="2">
    <pivotField allDrilled="1" subtotalTop="0" showAll="0" sortType="descending" defaultSubtotal="0" defaultAttributeDrillState="1">
      <items count="7">
        <item x="3"/>
        <item x="2"/>
        <item x="0"/>
        <item x="4"/>
        <item x="6"/>
        <item x="5"/>
        <item x="1"/>
      </items>
    </pivotField>
    <pivotField axis="axisRow" allDrilled="1" subtotalTop="0" showAll="0" sortType="descending" defaultSubtotal="0" defaultAttributeDrillState="1">
      <items count="1">
        <item s="1" x="0"/>
      </items>
    </pivotField>
  </pivotFields>
  <rowFields count="1">
    <field x="1"/>
  </rowFields>
  <rowItems count="1">
    <i>
      <x/>
    </i>
  </rowItem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3B1AD9A-CC68-48DD-B445-AFE4EB70D854}" name="Calls Trend By Month" cacheId="6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21:C34" firstHeaderRow="0" firstDataRow="1" firstDataCol="1"/>
  <pivotFields count="5">
    <pivotField dataField="1" subtotalTop="0" showAll="0" defaultSubtotal="0"/>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name="Call Count2" fld="4" subtotal="count" baseField="0" baseItem="0">
      <extLst>
        <ext xmlns:x14="http://schemas.microsoft.com/office/spreadsheetml/2009/9/main" uri="{E15A36E0-9728-4e99-A89B-3F7291B0FE68}">
          <x14:dataField sourceField="0" uniqueName="[__Xl2].[Measures].[Call Count]"/>
        </ext>
      </extLst>
    </dataField>
  </dataFields>
  <chartFormats count="2">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F5C211B-4A10-4C37-9A3B-C9A5064A2FAC}" name="PivotTable36" cacheId="700" applyNumberFormats="0" applyBorderFormats="0" applyFontFormats="0" applyPatternFormats="0" applyAlignmentFormats="0" applyWidthHeightFormats="1" dataCaption="Values" showMissing="0" updatedVersion="8" minRefreshableVersion="3" useAutoFormatting="1" subtotalHiddenItems="1" rowGrandTotals="0" colGrandTotals="0" itemPrintTitles="1" createdVersion="8" indent="0" outline="1" outlineData="1" multipleFieldFilters="0" chartFormat="26" customListSort="0">
  <location ref="P32:Q33" firstHeaderRow="1" firstDataRow="1" firstDataCol="1"/>
  <pivotFields count="3">
    <pivotField allDrilled="1" subtotalTop="0" showAll="0" sortType="descending" defaultSubtotal="0" defaultAttributeDrillState="1">
      <items count="7">
        <item x="3"/>
        <item x="2"/>
        <item x="0"/>
        <item x="4"/>
        <item x="6"/>
        <item x="5"/>
        <item x="1"/>
      </items>
    </pivotField>
    <pivotField dataField="1" subtotalTop="0" showAll="0" defaultSubtotal="0"/>
    <pivotField axis="axisRow" allDrilled="1" subtotalTop="0" showAll="0" sortType="descending" defaultSubtotal="0" defaultAttributeDrillState="1">
      <items count="1">
        <item s="1" x="0"/>
      </items>
    </pivotField>
  </pivotFields>
  <rowFields count="1">
    <field x="2"/>
  </rowFields>
  <rowItems count="1">
    <i>
      <x/>
    </i>
  </rowItems>
  <colItems count="1">
    <i/>
  </colItems>
  <dataFields count="1">
    <dataField fld="1" subtotal="count" baseField="0" baseItem="0"/>
  </dataFields>
  <chartFormats count="3">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E271AC0-376D-4122-84A4-DB10D89A64B5}" name="Amount" cacheId="685" applyNumberFormats="0" applyBorderFormats="0" applyFontFormats="0" applyPatternFormats="0" applyAlignmentFormats="0" applyWidthHeightFormats="1" dataCaption="Values" showMissing="0" updatedVersion="8" minRefreshableVersion="3" useAutoFormatting="1" subtotalHiddenItems="1" rowGrandTotals="0" colGrandTotals="0" itemPrintTitles="1" createdVersion="8" indent="0" outline="1" outlineData="1" multipleFieldFilters="0" chartFormat="29" customListSort="0">
  <location ref="J12:K13" firstHeaderRow="1" firstDataRow="1" firstDataCol="1"/>
  <pivotFields count="3">
    <pivotField allDrilled="1" subtotalTop="0" showAll="0" sortType="descending" defaultSubtotal="0" defaultAttributeDrillState="1">
      <items count="7">
        <item x="3"/>
        <item x="2"/>
        <item x="0"/>
        <item x="4"/>
        <item x="6"/>
        <item x="5"/>
        <item x="1"/>
      </items>
    </pivotField>
    <pivotField axis="axisRow" allDrilled="1" subtotalTop="0" showAll="0" sortType="descending" defaultSubtotal="0" defaultAttributeDrillState="1">
      <items count="1">
        <item s="1" x="0"/>
      </items>
    </pivotField>
    <pivotField dataField="1" subtotalTop="0" showAll="0" defaultSubtotal="0"/>
  </pivotFields>
  <rowFields count="1">
    <field x="1"/>
  </rowFields>
  <rowItems count="1">
    <i>
      <x/>
    </i>
  </rowItems>
  <colItems count="1">
    <i/>
  </colItems>
  <dataFields count="1">
    <dataField fld="2"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59BADA1-64AC-42DC-80EB-DDC3D6FFC0D7}" name="REp Amounts"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37">
  <location ref="G56:M75" firstHeaderRow="1" firstDataRow="2" firstDataCol="1"/>
  <pivotFields count="5">
    <pivotField allDrilled="1" subtotalTop="0" showAll="0" sortType="descending" defaultSubtotal="0" defaultAttributeDrillState="1">
      <items count="7">
        <item x="3"/>
        <item x="2"/>
        <item x="0"/>
        <item x="4"/>
        <item x="6"/>
        <item x="5"/>
        <item x="1"/>
      </items>
    </pivotField>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3"/>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4"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04D7855-EBED-46C1-84FC-351483DF1195}" name="Sales Representative" cacheId="6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4:E1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Business woman raising hand</v>
  </rv>
  <rv s="0">
    <v>1</v>
    <v>5</v>
    <v>A person in a skirt and a cardigan
Description automatically generated</v>
  </rv>
  <rv s="0">
    <v>2</v>
    <v>5</v>
    <v>A person in a suit and tie
Description automatically generated</v>
  </rv>
  <rv s="0">
    <v>0</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EE2EAE8C-EF23-4A43-8326-D4BC69E21B42}" sourceName="[calls].[Representative]">
  <pivotTables>
    <pivotTable tabId="6" name="Sales Representative"/>
    <pivotTable tabId="6" name="Calls Trend By Month"/>
    <pivotTable tabId="6" name="Weekly Trend"/>
    <pivotTable tabId="6" name="Reps Pivot"/>
    <pivotTable tabId="6" name="Business Summary"/>
    <pivotTable tabId="6" name="Amount"/>
    <pivotTable tabId="6" name="PivotTable25"/>
    <pivotTable tabId="6" name="PivotTable28"/>
    <pivotTable tabId="6" name="PivotTable29"/>
    <pivotTable tabId="6" name="Rep Satisfaction"/>
    <pivotTable tabId="6" name="PivotTable36"/>
    <pivotTable tabId="6" name="Calls"/>
  </pivotTables>
  <data>
    <olap pivotCacheId="2069320939">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ED507172-72B9-4EEE-B678-87A492811C7D}" cache="Slicer_Representative" caption="Representative" level="1" rowHeight="241300"/>
  <slicer name="Representative 2" xr10:uid="{69E9B805-B0E2-4928-90CC-FF8AF80BFBD2}" cache="Slicer_Representative" caption="Representativ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493EA029-C780-4972-B62C-4116CE25A535}" cache="Slicer_Representative" caption="Representative" level="1" style="Slicer Style 6" rowHeight="93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nd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Arial Black-Arial">
      <a:majorFont>
        <a:latin typeface="Arial Black" panose="020B0A0402010202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B05F7-647E-4526-AC4E-8537708898BE}">
  <dimension ref="A3:Q75"/>
  <sheetViews>
    <sheetView topLeftCell="E1" workbookViewId="0">
      <selection activeCell="O11" sqref="O11:P17"/>
    </sheetView>
  </sheetViews>
  <sheetFormatPr defaultRowHeight="13.8" x14ac:dyDescent="0.25"/>
  <cols>
    <col min="1" max="1" width="9.8984375" bestFit="1" customWidth="1"/>
    <col min="2" max="2" width="12.59765625" bestFit="1" customWidth="1"/>
    <col min="3" max="3" width="13.19921875" bestFit="1" customWidth="1"/>
    <col min="4" max="5" width="13.09765625" bestFit="1" customWidth="1"/>
    <col min="6" max="6" width="16.09765625" bestFit="1" customWidth="1"/>
    <col min="7" max="7" width="5" bestFit="1" customWidth="1"/>
    <col min="8" max="8" width="11" bestFit="1" customWidth="1"/>
    <col min="9" max="9" width="9.8984375" bestFit="1" customWidth="1"/>
    <col min="10" max="11" width="13.09765625" bestFit="1" customWidth="1"/>
    <col min="12" max="13" width="9.8984375" bestFit="1" customWidth="1"/>
    <col min="14" max="15" width="11" bestFit="1" customWidth="1"/>
    <col min="16" max="16" width="13.09765625" bestFit="1" customWidth="1"/>
    <col min="17" max="17" width="9.8984375" bestFit="1" customWidth="1"/>
    <col min="18" max="158" width="16.09765625" bestFit="1" customWidth="1"/>
    <col min="159" max="159" width="11" bestFit="1" customWidth="1"/>
  </cols>
  <sheetData>
    <row r="3" spans="1:16" x14ac:dyDescent="0.25">
      <c r="A3" t="s">
        <v>1042</v>
      </c>
      <c r="B3" t="s">
        <v>1043</v>
      </c>
      <c r="C3" t="s">
        <v>1044</v>
      </c>
      <c r="D3" t="s">
        <v>1045</v>
      </c>
      <c r="E3" t="s">
        <v>1046</v>
      </c>
    </row>
    <row r="4" spans="1:16" x14ac:dyDescent="0.25">
      <c r="A4" s="21">
        <v>207</v>
      </c>
      <c r="B4" s="22">
        <v>20872</v>
      </c>
      <c r="C4" s="23">
        <v>17700</v>
      </c>
      <c r="D4" s="24">
        <v>3.8589371980676304</v>
      </c>
      <c r="E4" s="23">
        <v>60</v>
      </c>
    </row>
    <row r="11" spans="1:16" x14ac:dyDescent="0.25">
      <c r="L11" s="25" t="s">
        <v>1061</v>
      </c>
      <c r="M11" t="s">
        <v>1042</v>
      </c>
      <c r="O11" s="25" t="s">
        <v>1061</v>
      </c>
      <c r="P11" t="s">
        <v>1043</v>
      </c>
    </row>
    <row r="12" spans="1:16" x14ac:dyDescent="0.25">
      <c r="J12" s="25" t="s">
        <v>1061</v>
      </c>
      <c r="K12" t="s">
        <v>1043</v>
      </c>
      <c r="L12" s="26" t="s">
        <v>11</v>
      </c>
      <c r="M12" s="21">
        <v>189</v>
      </c>
      <c r="O12" s="26" t="s">
        <v>11</v>
      </c>
      <c r="P12" s="22">
        <v>18415</v>
      </c>
    </row>
    <row r="13" spans="1:16" x14ac:dyDescent="0.25">
      <c r="J13" s="26" t="s">
        <v>6</v>
      </c>
      <c r="K13" s="22">
        <v>20872</v>
      </c>
      <c r="L13" s="26" t="s">
        <v>9</v>
      </c>
      <c r="M13" s="21">
        <v>218</v>
      </c>
      <c r="O13" s="26" t="s">
        <v>9</v>
      </c>
      <c r="P13" s="22">
        <v>20581</v>
      </c>
    </row>
    <row r="14" spans="1:16" x14ac:dyDescent="0.25">
      <c r="A14" t="s">
        <v>1042</v>
      </c>
      <c r="B14" t="s">
        <v>1043</v>
      </c>
      <c r="C14" t="s">
        <v>1044</v>
      </c>
      <c r="D14" t="s">
        <v>1045</v>
      </c>
      <c r="E14" t="s">
        <v>1046</v>
      </c>
      <c r="L14" s="26" t="s">
        <v>6</v>
      </c>
      <c r="M14" s="21">
        <v>207</v>
      </c>
      <c r="O14" s="26" t="s">
        <v>6</v>
      </c>
      <c r="P14" s="22">
        <v>20872</v>
      </c>
    </row>
    <row r="15" spans="1:16" x14ac:dyDescent="0.25">
      <c r="A15" s="21">
        <v>207</v>
      </c>
      <c r="B15" s="22">
        <v>20872</v>
      </c>
      <c r="C15" s="23">
        <v>17700</v>
      </c>
      <c r="D15" s="24">
        <v>3.8589371980676304</v>
      </c>
      <c r="E15" s="23">
        <v>60</v>
      </c>
      <c r="L15" s="26" t="s">
        <v>13</v>
      </c>
      <c r="M15" s="21">
        <v>186</v>
      </c>
      <c r="O15" s="26" t="s">
        <v>13</v>
      </c>
      <c r="P15" s="22">
        <v>16651</v>
      </c>
    </row>
    <row r="16" spans="1:16" x14ac:dyDescent="0.25">
      <c r="L16" s="26" t="s">
        <v>10</v>
      </c>
      <c r="M16" s="21">
        <v>200</v>
      </c>
      <c r="O16" s="26" t="s">
        <v>10</v>
      </c>
      <c r="P16" s="22">
        <v>20104</v>
      </c>
    </row>
    <row r="17" spans="1:17" x14ac:dyDescent="0.25">
      <c r="L17" s="26" t="s">
        <v>1048</v>
      </c>
      <c r="M17" s="21">
        <v>1000</v>
      </c>
      <c r="O17" s="26" t="s">
        <v>1048</v>
      </c>
      <c r="P17" s="22">
        <v>96623</v>
      </c>
    </row>
    <row r="21" spans="1:17" x14ac:dyDescent="0.25">
      <c r="A21" s="25" t="s">
        <v>1061</v>
      </c>
      <c r="B21" t="s">
        <v>1042</v>
      </c>
      <c r="C21" t="s">
        <v>1062</v>
      </c>
      <c r="E21" s="25" t="s">
        <v>1061</v>
      </c>
      <c r="F21" t="s">
        <v>1042</v>
      </c>
      <c r="H21" s="25" t="s">
        <v>1061</v>
      </c>
      <c r="I21" t="s">
        <v>1042</v>
      </c>
      <c r="J21" t="s">
        <v>1043</v>
      </c>
      <c r="K21" s="25" t="s">
        <v>1061</v>
      </c>
      <c r="L21" t="s">
        <v>1042</v>
      </c>
    </row>
    <row r="22" spans="1:17" x14ac:dyDescent="0.25">
      <c r="A22" s="26" t="s">
        <v>1049</v>
      </c>
      <c r="B22" s="21">
        <v>13</v>
      </c>
      <c r="C22" s="21">
        <v>13</v>
      </c>
      <c r="E22" s="26" t="s">
        <v>1066</v>
      </c>
      <c r="F22" s="21">
        <v>30</v>
      </c>
      <c r="H22" s="26" t="s">
        <v>6</v>
      </c>
      <c r="I22" s="21">
        <v>207</v>
      </c>
      <c r="J22" s="22">
        <v>20872</v>
      </c>
      <c r="K22" s="26" t="s">
        <v>6</v>
      </c>
      <c r="L22" s="21">
        <v>207</v>
      </c>
    </row>
    <row r="23" spans="1:17" x14ac:dyDescent="0.25">
      <c r="A23" s="26" t="s">
        <v>1050</v>
      </c>
      <c r="B23" s="21">
        <v>13</v>
      </c>
      <c r="C23" s="21">
        <v>13</v>
      </c>
      <c r="E23" s="26" t="s">
        <v>1065</v>
      </c>
      <c r="F23" s="21">
        <v>25</v>
      </c>
    </row>
    <row r="24" spans="1:17" x14ac:dyDescent="0.25">
      <c r="A24" s="26" t="s">
        <v>1051</v>
      </c>
      <c r="B24" s="21">
        <v>28</v>
      </c>
      <c r="C24" s="21">
        <v>28</v>
      </c>
      <c r="E24" s="26" t="s">
        <v>1063</v>
      </c>
      <c r="F24" s="21">
        <v>27</v>
      </c>
    </row>
    <row r="25" spans="1:17" x14ac:dyDescent="0.25">
      <c r="A25" s="26" t="s">
        <v>1052</v>
      </c>
      <c r="B25" s="21">
        <v>24</v>
      </c>
      <c r="C25" s="21">
        <v>24</v>
      </c>
      <c r="E25" s="26" t="s">
        <v>1067</v>
      </c>
      <c r="F25" s="21">
        <v>27</v>
      </c>
    </row>
    <row r="26" spans="1:17" x14ac:dyDescent="0.25">
      <c r="A26" s="26" t="s">
        <v>1053</v>
      </c>
      <c r="B26" s="21">
        <v>23</v>
      </c>
      <c r="C26" s="21">
        <v>23</v>
      </c>
      <c r="E26" s="26" t="s">
        <v>1069</v>
      </c>
      <c r="F26" s="21">
        <v>38</v>
      </c>
    </row>
    <row r="27" spans="1:17" x14ac:dyDescent="0.25">
      <c r="A27" s="26" t="s">
        <v>1054</v>
      </c>
      <c r="B27" s="21">
        <v>17</v>
      </c>
      <c r="C27" s="21">
        <v>17</v>
      </c>
      <c r="E27" s="26" t="s">
        <v>1068</v>
      </c>
      <c r="F27" s="21">
        <v>26</v>
      </c>
    </row>
    <row r="28" spans="1:17" x14ac:dyDescent="0.25">
      <c r="A28" s="26" t="s">
        <v>1055</v>
      </c>
      <c r="B28" s="21">
        <v>11</v>
      </c>
      <c r="C28" s="21">
        <v>11</v>
      </c>
      <c r="E28" s="26" t="s">
        <v>1064</v>
      </c>
      <c r="F28" s="21">
        <v>34</v>
      </c>
    </row>
    <row r="29" spans="1:17" x14ac:dyDescent="0.25">
      <c r="A29" s="26" t="s">
        <v>1056</v>
      </c>
      <c r="B29" s="21">
        <v>11</v>
      </c>
      <c r="C29" s="21">
        <v>11</v>
      </c>
      <c r="E29" s="26" t="s">
        <v>1048</v>
      </c>
      <c r="F29" s="21">
        <v>207</v>
      </c>
    </row>
    <row r="30" spans="1:17" x14ac:dyDescent="0.25">
      <c r="A30" s="26" t="s">
        <v>1057</v>
      </c>
      <c r="B30" s="21">
        <v>14</v>
      </c>
      <c r="C30" s="21">
        <v>14</v>
      </c>
    </row>
    <row r="31" spans="1:17" x14ac:dyDescent="0.25">
      <c r="A31" s="26" t="s">
        <v>1058</v>
      </c>
      <c r="B31" s="21">
        <v>30</v>
      </c>
      <c r="C31" s="21">
        <v>30</v>
      </c>
      <c r="J31" t="s">
        <v>1072</v>
      </c>
    </row>
    <row r="32" spans="1:17" x14ac:dyDescent="0.25">
      <c r="A32" s="26" t="s">
        <v>1059</v>
      </c>
      <c r="B32" s="21">
        <v>14</v>
      </c>
      <c r="C32" s="21">
        <v>14</v>
      </c>
      <c r="J32" t="s">
        <v>1073</v>
      </c>
      <c r="K32" s="32">
        <f>A4/1000</f>
        <v>0.20699999999999999</v>
      </c>
      <c r="M32" s="25" t="s">
        <v>1061</v>
      </c>
      <c r="N32" t="s">
        <v>1042</v>
      </c>
      <c r="O32" t="s">
        <v>1043</v>
      </c>
      <c r="P32" s="25" t="s">
        <v>1061</v>
      </c>
      <c r="Q32" t="s">
        <v>1042</v>
      </c>
    </row>
    <row r="33" spans="1:17" x14ac:dyDescent="0.25">
      <c r="A33" s="26" t="s">
        <v>1060</v>
      </c>
      <c r="B33" s="21">
        <v>9</v>
      </c>
      <c r="C33" s="21">
        <v>9</v>
      </c>
      <c r="H33" t="s">
        <v>1070</v>
      </c>
      <c r="J33" t="s">
        <v>1076</v>
      </c>
      <c r="K33">
        <f>_xlfn.XLOOKUP(C54,H22:H26,I22:I26)</f>
        <v>207</v>
      </c>
      <c r="M33" s="26" t="s">
        <v>10</v>
      </c>
      <c r="N33" s="21">
        <v>200</v>
      </c>
      <c r="O33" s="22">
        <v>20104</v>
      </c>
      <c r="P33" s="26" t="s">
        <v>6</v>
      </c>
      <c r="Q33" s="21">
        <v>207</v>
      </c>
    </row>
    <row r="34" spans="1:17" x14ac:dyDescent="0.25">
      <c r="A34" s="26" t="s">
        <v>1048</v>
      </c>
      <c r="B34" s="21">
        <v>207</v>
      </c>
      <c r="C34" s="21">
        <v>207</v>
      </c>
      <c r="D34" s="22"/>
      <c r="E34" t="str" cm="1">
        <f t="array" ref="E34:G38">H22:J26</f>
        <v>R03</v>
      </c>
      <c r="F34">
        <v>207</v>
      </c>
      <c r="G34">
        <v>20872</v>
      </c>
      <c r="H34">
        <f>IF(E34=$C$54,F34,NA())</f>
        <v>207</v>
      </c>
      <c r="J34" t="s">
        <v>1077</v>
      </c>
      <c r="K34" s="21">
        <f>_xlfn.XLOOKUP(C54,H22:H26,J22:J26)</f>
        <v>20872</v>
      </c>
      <c r="L34" s="22"/>
      <c r="M34" s="26" t="s">
        <v>13</v>
      </c>
      <c r="N34" s="21">
        <v>186</v>
      </c>
      <c r="O34" s="22">
        <v>16651</v>
      </c>
    </row>
    <row r="35" spans="1:17" x14ac:dyDescent="0.25">
      <c r="D35" s="22"/>
      <c r="E35">
        <v>0</v>
      </c>
      <c r="F35">
        <v>0</v>
      </c>
      <c r="G35">
        <v>0</v>
      </c>
      <c r="H35" t="e">
        <f>IF(E35=$C$54,F35,NA())</f>
        <v>#N/A</v>
      </c>
      <c r="J35" s="26"/>
      <c r="K35" s="21"/>
      <c r="L35" s="22"/>
      <c r="M35" s="26" t="s">
        <v>6</v>
      </c>
      <c r="N35" s="21">
        <v>207</v>
      </c>
      <c r="O35" s="22">
        <v>20872</v>
      </c>
    </row>
    <row r="36" spans="1:17" x14ac:dyDescent="0.25">
      <c r="D36" s="22"/>
      <c r="E36">
        <v>0</v>
      </c>
      <c r="F36">
        <v>0</v>
      </c>
      <c r="G36">
        <v>0</v>
      </c>
      <c r="H36" t="e">
        <f>IF(E35=$C$54,F36,NA())</f>
        <v>#N/A</v>
      </c>
      <c r="J36" t="s">
        <v>1074</v>
      </c>
      <c r="K36" s="21">
        <f>_xlfn.RANK.AVG(K33,N33:N37)</f>
        <v>2</v>
      </c>
      <c r="L36" s="22"/>
      <c r="M36" s="26" t="s">
        <v>9</v>
      </c>
      <c r="N36" s="21">
        <v>218</v>
      </c>
      <c r="O36" s="22">
        <v>20581</v>
      </c>
    </row>
    <row r="37" spans="1:17" x14ac:dyDescent="0.25">
      <c r="D37" s="22"/>
      <c r="E37">
        <v>0</v>
      </c>
      <c r="F37">
        <v>0</v>
      </c>
      <c r="G37">
        <v>0</v>
      </c>
      <c r="H37" t="e">
        <f>IF(E35=$C$54,F37,NA())</f>
        <v>#N/A</v>
      </c>
      <c r="J37" s="26" t="s">
        <v>1075</v>
      </c>
      <c r="K37" s="21">
        <f>_xlfn.RANK.AVG(K34,O33:O37)</f>
        <v>1</v>
      </c>
      <c r="L37" s="22"/>
      <c r="M37" s="26" t="s">
        <v>11</v>
      </c>
      <c r="N37" s="21">
        <v>189</v>
      </c>
      <c r="O37" s="22">
        <v>18415</v>
      </c>
    </row>
    <row r="38" spans="1:17" x14ac:dyDescent="0.25">
      <c r="D38" s="25" t="s">
        <v>1061</v>
      </c>
      <c r="E38">
        <v>0</v>
      </c>
      <c r="F38">
        <v>0</v>
      </c>
      <c r="G38">
        <v>0</v>
      </c>
      <c r="H38" t="e">
        <f>IF(E35=$C$54,F38,NA())</f>
        <v>#N/A</v>
      </c>
      <c r="J38" s="26"/>
      <c r="K38" s="21"/>
      <c r="L38" s="22"/>
    </row>
    <row r="39" spans="1:17" x14ac:dyDescent="0.25">
      <c r="D39" s="26" t="s">
        <v>6</v>
      </c>
      <c r="J39" s="26" t="s">
        <v>1078</v>
      </c>
    </row>
    <row r="40" spans="1:17" x14ac:dyDescent="0.25">
      <c r="K40" t="str">
        <f>"% of Calls:"&amp;K32*100&amp;"%"</f>
        <v>% of Calls:20.7%</v>
      </c>
    </row>
    <row r="41" spans="1:17" x14ac:dyDescent="0.25">
      <c r="K41" t="str">
        <f>IF(COUNTA(D39:D43)&gt;1,"","Call Rank:"&amp;K36)</f>
        <v>Call Rank:2</v>
      </c>
    </row>
    <row r="42" spans="1:17" x14ac:dyDescent="0.25">
      <c r="E42" s="25" t="s">
        <v>1042</v>
      </c>
      <c r="F42" s="25" t="s">
        <v>1047</v>
      </c>
      <c r="K42" t="str">
        <f>IF(COUNTA(D39:D43)&gt;1,"","Amount Rank:"&amp;K37)</f>
        <v>Amount Rank:1</v>
      </c>
    </row>
    <row r="43" spans="1:17" x14ac:dyDescent="0.25">
      <c r="E43" s="25" t="s">
        <v>1061</v>
      </c>
      <c r="F43" t="s">
        <v>998</v>
      </c>
      <c r="G43" t="s">
        <v>997</v>
      </c>
      <c r="H43" t="s">
        <v>1048</v>
      </c>
      <c r="J43" t="s">
        <v>1079</v>
      </c>
      <c r="K43" t="e" vm="1">
        <f>IF(COUNTA(D39:D43)&gt;1,"",_xlfn.XLOOKUP(D39,Assets!E3:E7,Assets!F3:F7))</f>
        <v>#VALUE!</v>
      </c>
    </row>
    <row r="44" spans="1:17" x14ac:dyDescent="0.25">
      <c r="E44" s="26" t="s">
        <v>1001</v>
      </c>
      <c r="F44" s="21">
        <v>28</v>
      </c>
      <c r="G44" s="21">
        <v>26</v>
      </c>
      <c r="H44" s="21">
        <v>54</v>
      </c>
    </row>
    <row r="45" spans="1:17" x14ac:dyDescent="0.25">
      <c r="E45" s="26" t="s">
        <v>1000</v>
      </c>
      <c r="F45" s="21">
        <v>64</v>
      </c>
      <c r="G45" s="21">
        <v>14</v>
      </c>
      <c r="H45" s="21">
        <v>78</v>
      </c>
      <c r="P45" t="s">
        <v>1042</v>
      </c>
    </row>
    <row r="46" spans="1:17" x14ac:dyDescent="0.25">
      <c r="E46" s="26" t="s">
        <v>999</v>
      </c>
      <c r="F46" s="21">
        <v>28</v>
      </c>
      <c r="G46" s="21">
        <v>47</v>
      </c>
      <c r="H46" s="21">
        <v>75</v>
      </c>
      <c r="O46" s="26">
        <v>0</v>
      </c>
      <c r="P46" s="21">
        <v>1</v>
      </c>
    </row>
    <row r="47" spans="1:17" x14ac:dyDescent="0.25">
      <c r="E47" s="26" t="s">
        <v>1048</v>
      </c>
      <c r="F47" s="21">
        <v>120</v>
      </c>
      <c r="G47" s="21">
        <v>87</v>
      </c>
      <c r="H47" s="21">
        <v>207</v>
      </c>
      <c r="O47" s="26">
        <v>1</v>
      </c>
      <c r="P47" s="21">
        <v>1</v>
      </c>
    </row>
    <row r="48" spans="1:17" x14ac:dyDescent="0.25">
      <c r="O48" s="26">
        <v>2</v>
      </c>
      <c r="P48" s="21">
        <v>11</v>
      </c>
    </row>
    <row r="49" spans="3:16" x14ac:dyDescent="0.25">
      <c r="O49" s="26">
        <v>3</v>
      </c>
      <c r="P49" s="21">
        <v>46</v>
      </c>
    </row>
    <row r="50" spans="3:16" x14ac:dyDescent="0.25">
      <c r="O50" s="26">
        <v>4</v>
      </c>
      <c r="P50" s="21">
        <v>88</v>
      </c>
    </row>
    <row r="51" spans="3:16" x14ac:dyDescent="0.25">
      <c r="O51" s="26">
        <v>5</v>
      </c>
      <c r="P51" s="21">
        <v>60</v>
      </c>
    </row>
    <row r="52" spans="3:16" x14ac:dyDescent="0.25">
      <c r="O52" s="26" t="s">
        <v>1048</v>
      </c>
      <c r="P52" s="21">
        <v>207</v>
      </c>
    </row>
    <row r="54" spans="3:16" x14ac:dyDescent="0.25">
      <c r="C54" t="str">
        <f>$D$39</f>
        <v>R03</v>
      </c>
    </row>
    <row r="56" spans="3:16" x14ac:dyDescent="0.25">
      <c r="G56" s="25" t="s">
        <v>1043</v>
      </c>
      <c r="H56" s="25" t="s">
        <v>1047</v>
      </c>
    </row>
    <row r="57" spans="3:16" x14ac:dyDescent="0.25">
      <c r="G57" s="25" t="s">
        <v>1061</v>
      </c>
      <c r="H57" t="s">
        <v>11</v>
      </c>
      <c r="I57" t="s">
        <v>9</v>
      </c>
      <c r="J57" t="s">
        <v>6</v>
      </c>
      <c r="K57" t="s">
        <v>13</v>
      </c>
      <c r="L57" t="s">
        <v>10</v>
      </c>
      <c r="M57" t="s">
        <v>1048</v>
      </c>
    </row>
    <row r="58" spans="3:16" x14ac:dyDescent="0.25">
      <c r="G58" s="26" t="s">
        <v>1001</v>
      </c>
    </row>
    <row r="59" spans="3:16" x14ac:dyDescent="0.25">
      <c r="G59" s="27" t="s">
        <v>20</v>
      </c>
      <c r="H59" s="22">
        <v>891</v>
      </c>
      <c r="I59" s="22">
        <v>1332</v>
      </c>
      <c r="J59" s="22">
        <v>1282</v>
      </c>
      <c r="K59" s="22">
        <v>739</v>
      </c>
      <c r="L59" s="22">
        <v>560</v>
      </c>
      <c r="M59" s="22">
        <v>4804</v>
      </c>
    </row>
    <row r="60" spans="3:16" x14ac:dyDescent="0.25">
      <c r="G60" s="27" t="s">
        <v>12</v>
      </c>
      <c r="H60" s="22">
        <v>1991</v>
      </c>
      <c r="I60" s="22">
        <v>1886</v>
      </c>
      <c r="J60" s="22">
        <v>1206</v>
      </c>
      <c r="K60" s="22">
        <v>884</v>
      </c>
      <c r="L60" s="22">
        <v>1722</v>
      </c>
      <c r="M60" s="22">
        <v>7689</v>
      </c>
    </row>
    <row r="61" spans="3:16" x14ac:dyDescent="0.25">
      <c r="G61" s="27" t="s">
        <v>8</v>
      </c>
      <c r="H61" s="22">
        <v>1163</v>
      </c>
      <c r="I61" s="22">
        <v>1180</v>
      </c>
      <c r="J61" s="22">
        <v>1616</v>
      </c>
      <c r="K61" s="22">
        <v>1043</v>
      </c>
      <c r="L61" s="22">
        <v>1747</v>
      </c>
      <c r="M61" s="22">
        <v>6749</v>
      </c>
    </row>
    <row r="62" spans="3:16" x14ac:dyDescent="0.25">
      <c r="G62" s="27" t="s">
        <v>16</v>
      </c>
      <c r="H62" s="22">
        <v>1438</v>
      </c>
      <c r="I62" s="22">
        <v>1616</v>
      </c>
      <c r="J62" s="22">
        <v>866</v>
      </c>
      <c r="K62" s="22">
        <v>829</v>
      </c>
      <c r="L62" s="22">
        <v>2070</v>
      </c>
      <c r="M62" s="22">
        <v>6819</v>
      </c>
    </row>
    <row r="63" spans="3:16" x14ac:dyDescent="0.25">
      <c r="G63" s="26" t="s">
        <v>1000</v>
      </c>
    </row>
    <row r="64" spans="3:16" x14ac:dyDescent="0.25">
      <c r="G64" s="27" t="s">
        <v>24</v>
      </c>
      <c r="H64" s="22">
        <v>1233</v>
      </c>
      <c r="I64" s="22">
        <v>223</v>
      </c>
      <c r="J64" s="22">
        <v>1680</v>
      </c>
      <c r="K64" s="22">
        <v>990</v>
      </c>
      <c r="L64" s="22">
        <v>1508</v>
      </c>
      <c r="M64" s="22">
        <v>5634</v>
      </c>
    </row>
    <row r="65" spans="5:13" x14ac:dyDescent="0.25">
      <c r="G65" s="27" t="s">
        <v>15</v>
      </c>
      <c r="H65" s="22">
        <v>1598</v>
      </c>
      <c r="I65" s="22">
        <v>1907</v>
      </c>
      <c r="J65" s="22">
        <v>869</v>
      </c>
      <c r="K65" s="22">
        <v>1426</v>
      </c>
      <c r="L65" s="22">
        <v>1416</v>
      </c>
      <c r="M65" s="22">
        <v>7216</v>
      </c>
    </row>
    <row r="66" spans="5:13" x14ac:dyDescent="0.25">
      <c r="E66" s="25" t="s">
        <v>1061</v>
      </c>
      <c r="G66" s="27" t="s">
        <v>5</v>
      </c>
      <c r="H66" s="22">
        <v>900</v>
      </c>
      <c r="I66" s="22">
        <v>1016</v>
      </c>
      <c r="J66" s="22">
        <v>960</v>
      </c>
      <c r="K66" s="22">
        <v>940</v>
      </c>
      <c r="L66" s="22">
        <v>1193</v>
      </c>
      <c r="M66" s="22">
        <v>5009</v>
      </c>
    </row>
    <row r="67" spans="5:13" x14ac:dyDescent="0.25">
      <c r="E67" s="26" t="s">
        <v>6</v>
      </c>
      <c r="G67" s="27" t="s">
        <v>18</v>
      </c>
      <c r="H67" s="22">
        <v>900</v>
      </c>
      <c r="I67" s="22">
        <v>1470</v>
      </c>
      <c r="J67" s="22">
        <v>1617</v>
      </c>
      <c r="K67" s="22">
        <v>1314</v>
      </c>
      <c r="L67" s="22">
        <v>941</v>
      </c>
      <c r="M67" s="22">
        <v>6242</v>
      </c>
    </row>
    <row r="68" spans="5:13" x14ac:dyDescent="0.25">
      <c r="G68" s="27" t="s">
        <v>14</v>
      </c>
      <c r="H68" s="22">
        <v>1255</v>
      </c>
      <c r="I68" s="22">
        <v>516</v>
      </c>
      <c r="J68" s="22">
        <v>1874</v>
      </c>
      <c r="K68" s="22">
        <v>1863</v>
      </c>
      <c r="L68" s="22">
        <v>1722</v>
      </c>
      <c r="M68" s="22">
        <v>7230</v>
      </c>
    </row>
    <row r="69" spans="5:13" x14ac:dyDescent="0.25">
      <c r="G69" s="27" t="s">
        <v>19</v>
      </c>
      <c r="H69" s="22">
        <v>1138</v>
      </c>
      <c r="I69" s="22">
        <v>1898</v>
      </c>
      <c r="J69" s="22">
        <v>1482</v>
      </c>
      <c r="K69" s="22">
        <v>846</v>
      </c>
      <c r="L69" s="22">
        <v>1154</v>
      </c>
      <c r="M69" s="22">
        <v>6518</v>
      </c>
    </row>
    <row r="70" spans="5:13" x14ac:dyDescent="0.25">
      <c r="G70" s="26" t="s">
        <v>999</v>
      </c>
    </row>
    <row r="71" spans="5:13" x14ac:dyDescent="0.25">
      <c r="G71" s="27" t="s">
        <v>17</v>
      </c>
      <c r="H71" s="22">
        <v>1655</v>
      </c>
      <c r="I71" s="22">
        <v>805</v>
      </c>
      <c r="J71" s="22">
        <v>2263</v>
      </c>
      <c r="K71" s="22">
        <v>987</v>
      </c>
      <c r="L71" s="22">
        <v>1075</v>
      </c>
      <c r="M71" s="22">
        <v>6785</v>
      </c>
    </row>
    <row r="72" spans="5:13" x14ac:dyDescent="0.25">
      <c r="G72" s="27" t="s">
        <v>23</v>
      </c>
      <c r="H72" s="22">
        <v>1104</v>
      </c>
      <c r="I72" s="22">
        <v>2280</v>
      </c>
      <c r="J72" s="22">
        <v>1445</v>
      </c>
      <c r="K72" s="22">
        <v>1722</v>
      </c>
      <c r="L72" s="22">
        <v>1196</v>
      </c>
      <c r="M72" s="22">
        <v>7747</v>
      </c>
    </row>
    <row r="73" spans="5:13" x14ac:dyDescent="0.25">
      <c r="G73" s="27" t="s">
        <v>7</v>
      </c>
      <c r="H73" s="22">
        <v>372</v>
      </c>
      <c r="I73" s="22">
        <v>1818</v>
      </c>
      <c r="J73" s="22">
        <v>1346</v>
      </c>
      <c r="K73" s="22">
        <v>1156</v>
      </c>
      <c r="L73" s="22">
        <v>1484</v>
      </c>
      <c r="M73" s="22">
        <v>6176</v>
      </c>
    </row>
    <row r="74" spans="5:13" x14ac:dyDescent="0.25">
      <c r="G74" s="27" t="s">
        <v>22</v>
      </c>
      <c r="H74" s="22">
        <v>1415</v>
      </c>
      <c r="I74" s="22">
        <v>1271</v>
      </c>
      <c r="J74" s="22">
        <v>1214</v>
      </c>
      <c r="K74" s="22">
        <v>1135</v>
      </c>
      <c r="L74" s="22">
        <v>1566</v>
      </c>
      <c r="M74" s="22">
        <v>6601</v>
      </c>
    </row>
    <row r="75" spans="5:13" x14ac:dyDescent="0.25">
      <c r="G75" s="27" t="s">
        <v>21</v>
      </c>
      <c r="H75" s="22">
        <v>1362</v>
      </c>
      <c r="I75" s="22">
        <v>1363</v>
      </c>
      <c r="J75" s="22">
        <v>1152</v>
      </c>
      <c r="K75" s="22">
        <v>777</v>
      </c>
      <c r="L75" s="22">
        <v>750</v>
      </c>
      <c r="M75" s="22">
        <v>5404</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H4" sqref="H4"/>
    </sheetView>
  </sheetViews>
  <sheetFormatPr defaultRowHeight="13.8" x14ac:dyDescent="0.25"/>
  <cols>
    <col min="1" max="1" width="2.8984375" customWidth="1"/>
    <col min="2" max="2" width="14.5" customWidth="1"/>
    <col min="3" max="3" width="12.69921875" customWidth="1"/>
    <col min="4" max="4" width="16.5" customWidth="1"/>
    <col min="5" max="5" width="14.8984375" customWidth="1"/>
    <col min="6" max="6" width="16" customWidth="1"/>
    <col min="7" max="7" width="17.19921875" customWidth="1"/>
    <col min="8" max="8" width="18.3984375" customWidth="1"/>
    <col min="9" max="9" width="17.19921875" customWidth="1"/>
    <col min="10" max="12" width="15.3984375" customWidth="1"/>
    <col min="13" max="16" width="7.3984375" customWidth="1"/>
    <col min="17" max="17" width="14.5" customWidth="1"/>
    <col min="20" max="20" width="10.5" customWidth="1"/>
  </cols>
  <sheetData>
    <row r="1" spans="2:20" s="4" customFormat="1" ht="48" customHeight="1" x14ac:dyDescent="0.25">
      <c r="B1" s="5" t="s">
        <v>1002</v>
      </c>
    </row>
    <row r="2" spans="2:20" x14ac:dyDescent="0.25">
      <c r="R2" s="1"/>
    </row>
    <row r="3" spans="2:20" x14ac:dyDescent="0.25">
      <c r="B3" s="14" t="s">
        <v>25</v>
      </c>
      <c r="C3" s="14" t="s">
        <v>0</v>
      </c>
      <c r="D3" s="15" t="s">
        <v>1</v>
      </c>
      <c r="E3" s="16" t="s">
        <v>3</v>
      </c>
      <c r="F3" s="16" t="s">
        <v>4</v>
      </c>
      <c r="G3" s="14" t="s">
        <v>2</v>
      </c>
      <c r="H3" s="14" t="s">
        <v>994</v>
      </c>
      <c r="I3" t="s">
        <v>1035</v>
      </c>
      <c r="J3" t="s">
        <v>1036</v>
      </c>
      <c r="K3" t="s">
        <v>1037</v>
      </c>
      <c r="L3" t="s">
        <v>1038</v>
      </c>
      <c r="Q3" s="8" t="s">
        <v>0</v>
      </c>
      <c r="R3" s="9" t="s">
        <v>1041</v>
      </c>
      <c r="S3" s="9" t="s">
        <v>995</v>
      </c>
      <c r="T3" s="10" t="s">
        <v>996</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997</v>
      </c>
      <c r="S4" s="2">
        <v>41</v>
      </c>
      <c r="T4" s="7" t="s">
        <v>999</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997</v>
      </c>
      <c r="S5" s="2">
        <v>31</v>
      </c>
      <c r="T5" s="7" t="s">
        <v>1000</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997</v>
      </c>
      <c r="S6" s="2">
        <v>26</v>
      </c>
      <c r="T6" s="7" t="s">
        <v>1001</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997</v>
      </c>
      <c r="S7" s="2">
        <v>36</v>
      </c>
      <c r="T7" s="7" t="s">
        <v>1001</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997</v>
      </c>
      <c r="S8" s="2">
        <v>37</v>
      </c>
      <c r="T8" s="7" t="s">
        <v>999</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997</v>
      </c>
      <c r="S9" s="2">
        <v>23</v>
      </c>
      <c r="T9" s="7" t="s">
        <v>999</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998</v>
      </c>
      <c r="S10" s="2">
        <v>22</v>
      </c>
      <c r="T10" s="7" t="s">
        <v>1000</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998</v>
      </c>
      <c r="S11" s="2">
        <v>42</v>
      </c>
      <c r="T11" s="7" t="s">
        <v>1000</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998</v>
      </c>
      <c r="S12" s="2">
        <v>25</v>
      </c>
      <c r="T12" s="7" t="s">
        <v>999</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998</v>
      </c>
      <c r="S13" s="2">
        <v>30</v>
      </c>
      <c r="T13" s="7" t="s">
        <v>1000</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998</v>
      </c>
      <c r="S14" s="2">
        <v>30</v>
      </c>
      <c r="T14" s="7" t="s">
        <v>1001</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998</v>
      </c>
      <c r="S15" s="2">
        <v>28</v>
      </c>
      <c r="T15" s="7" t="s">
        <v>1001</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998</v>
      </c>
      <c r="S16" s="2">
        <v>37</v>
      </c>
      <c r="T16" s="7" t="s">
        <v>1000</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998</v>
      </c>
      <c r="S17" s="2">
        <v>38</v>
      </c>
      <c r="T17" s="7" t="s">
        <v>999</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998</v>
      </c>
      <c r="S18" s="12">
        <v>43</v>
      </c>
      <c r="T18" s="13" t="s">
        <v>1000</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1003</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1004</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1005</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1006</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1007</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1008</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1009</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1010</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1011</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1012</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1013</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1014</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1015</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1016</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1017</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1018</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1019</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1020</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1021</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1022</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1023</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1024</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1025</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1026</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1027</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1028</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1029</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1030</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1031</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1032</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1033</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1034</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BB40A-BC94-4105-BCEE-D81E2ED276DA}">
  <dimension ref="A1:AD86"/>
  <sheetViews>
    <sheetView tabSelected="1" zoomScale="90" zoomScaleNormal="90" workbookViewId="0">
      <selection activeCell="R1" sqref="R1"/>
    </sheetView>
  </sheetViews>
  <sheetFormatPr defaultRowHeight="13.8" x14ac:dyDescent="0.25"/>
  <cols>
    <col min="5" max="5" width="3.59765625" customWidth="1"/>
    <col min="11" max="12" width="9" bestFit="1" customWidth="1"/>
    <col min="13" max="13" width="12.5" customWidth="1"/>
    <col min="14" max="16" width="9" bestFit="1" customWidth="1"/>
    <col min="17" max="17" width="11" customWidth="1"/>
    <col min="18" max="18" width="9" customWidth="1"/>
  </cols>
  <sheetData>
    <row r="1" spans="1:30" ht="17.399999999999999" x14ac:dyDescent="0.3">
      <c r="A1" s="20"/>
      <c r="B1" s="20"/>
      <c r="C1" s="20"/>
      <c r="D1" s="20"/>
      <c r="E1" s="20"/>
      <c r="F1" s="20"/>
      <c r="G1" s="20"/>
      <c r="H1" s="20"/>
      <c r="I1" s="34" t="s">
        <v>1080</v>
      </c>
      <c r="J1" s="35"/>
      <c r="K1" s="35"/>
      <c r="L1" s="35"/>
      <c r="M1" s="35"/>
      <c r="N1" s="35"/>
      <c r="O1" s="35"/>
      <c r="P1" s="35"/>
      <c r="Q1" s="20"/>
      <c r="R1" s="20"/>
      <c r="S1" s="20"/>
      <c r="T1" s="20"/>
      <c r="U1" s="20"/>
      <c r="V1" s="20"/>
      <c r="W1" s="20"/>
      <c r="X1" s="20"/>
      <c r="Y1" s="20"/>
      <c r="Z1" s="20"/>
      <c r="AA1" s="20"/>
      <c r="AB1" s="20"/>
      <c r="AC1" s="20"/>
      <c r="AD1" s="20"/>
    </row>
    <row r="2" spans="1:30" ht="18" thickBot="1" x14ac:dyDescent="0.35">
      <c r="A2" s="20"/>
      <c r="B2" s="20"/>
      <c r="C2" s="20"/>
      <c r="D2" s="20"/>
      <c r="E2" s="20"/>
      <c r="F2" s="20"/>
      <c r="G2" s="20"/>
      <c r="H2" s="20"/>
      <c r="I2" s="35"/>
      <c r="J2" s="35"/>
      <c r="K2" s="35"/>
      <c r="L2" s="35"/>
      <c r="M2" s="35"/>
      <c r="N2" s="35"/>
      <c r="O2" s="35"/>
      <c r="P2" s="35"/>
      <c r="Q2" s="20"/>
      <c r="R2" s="20"/>
      <c r="S2" s="20"/>
      <c r="T2" s="20"/>
      <c r="U2" s="20"/>
      <c r="V2" s="20"/>
      <c r="W2" s="20"/>
      <c r="X2" s="20"/>
      <c r="Y2" s="20"/>
      <c r="Z2" s="20"/>
      <c r="AA2" s="20"/>
      <c r="AB2" s="20"/>
      <c r="AC2" s="20"/>
      <c r="AD2" s="20"/>
    </row>
    <row r="3" spans="1:30" x14ac:dyDescent="0.25">
      <c r="A3" s="20"/>
      <c r="B3" s="20"/>
      <c r="C3" s="20"/>
      <c r="D3" s="20"/>
      <c r="E3" s="20"/>
      <c r="F3" s="20"/>
      <c r="G3" s="20"/>
      <c r="H3" s="20"/>
      <c r="I3" s="20"/>
      <c r="J3" s="20"/>
      <c r="K3" s="20"/>
      <c r="L3" s="20"/>
      <c r="M3" s="29"/>
      <c r="N3" s="30" t="s">
        <v>11</v>
      </c>
      <c r="O3" s="30" t="s">
        <v>9</v>
      </c>
      <c r="P3" s="30" t="s">
        <v>6</v>
      </c>
      <c r="Q3" s="30" t="s">
        <v>13</v>
      </c>
      <c r="R3" s="30" t="s">
        <v>10</v>
      </c>
      <c r="S3" s="31" t="s">
        <v>1071</v>
      </c>
      <c r="T3" s="20"/>
      <c r="U3" s="20"/>
      <c r="V3" s="20"/>
      <c r="W3" s="20"/>
      <c r="X3" s="20"/>
      <c r="Y3" s="20"/>
      <c r="Z3" s="20"/>
      <c r="AA3" s="20"/>
      <c r="AB3" s="20"/>
      <c r="AC3" s="20"/>
      <c r="AD3" s="20"/>
    </row>
    <row r="4" spans="1:30" ht="14.4" x14ac:dyDescent="0.3">
      <c r="A4" s="20"/>
      <c r="B4" s="20"/>
      <c r="C4" s="20"/>
      <c r="D4" s="20"/>
      <c r="E4" s="20"/>
      <c r="F4" s="20"/>
      <c r="G4" s="20"/>
      <c r="H4" s="20"/>
      <c r="I4" s="20"/>
      <c r="J4" s="20"/>
      <c r="K4" s="20"/>
      <c r="L4" s="20"/>
      <c r="M4" s="38" t="str" cm="1">
        <f t="array" ref="M4:S21">IF('Pivot Tables'!G58:M75="","",'Pivot Tables'!G58:M75)</f>
        <v>Cincinnati</v>
      </c>
      <c r="N4" s="39" t="str">
        <v/>
      </c>
      <c r="O4" s="39" t="str">
        <v/>
      </c>
      <c r="P4" s="39" t="str">
        <v/>
      </c>
      <c r="Q4" s="39" t="str">
        <v/>
      </c>
      <c r="R4" s="39" t="str">
        <v/>
      </c>
      <c r="S4" s="40" t="str">
        <v/>
      </c>
      <c r="T4" s="20"/>
      <c r="U4" s="20"/>
      <c r="V4" s="20"/>
      <c r="W4" s="20"/>
      <c r="X4" s="20"/>
      <c r="Y4" s="20"/>
      <c r="Z4" s="20"/>
      <c r="AA4" s="20"/>
      <c r="AB4" s="20"/>
      <c r="AC4" s="20"/>
      <c r="AD4" s="20"/>
    </row>
    <row r="5" spans="1:30" ht="14.4" x14ac:dyDescent="0.3">
      <c r="A5" s="20"/>
      <c r="B5" s="20"/>
      <c r="C5" s="20"/>
      <c r="D5" s="20"/>
      <c r="E5" s="20"/>
      <c r="F5" s="20"/>
      <c r="G5" s="20"/>
      <c r="H5" s="20"/>
      <c r="I5" s="20"/>
      <c r="J5" s="20"/>
      <c r="K5" s="20"/>
      <c r="L5" s="20"/>
      <c r="M5" s="38" t="str">
        <v>C0003</v>
      </c>
      <c r="N5" s="39">
        <v>891</v>
      </c>
      <c r="O5" s="39">
        <v>1332</v>
      </c>
      <c r="P5" s="39">
        <v>1282</v>
      </c>
      <c r="Q5" s="39">
        <v>739</v>
      </c>
      <c r="R5" s="39">
        <v>560</v>
      </c>
      <c r="S5" s="40">
        <v>4804</v>
      </c>
      <c r="T5" s="20"/>
      <c r="U5" s="20"/>
      <c r="V5" s="20"/>
      <c r="W5" s="20"/>
      <c r="X5" s="20"/>
      <c r="Y5" s="20"/>
      <c r="Z5" s="20"/>
      <c r="AA5" s="20"/>
      <c r="AB5" s="20"/>
      <c r="AC5" s="20"/>
      <c r="AD5" s="20"/>
    </row>
    <row r="6" spans="1:30" ht="14.4" x14ac:dyDescent="0.3">
      <c r="A6" s="20"/>
      <c r="B6" s="20"/>
      <c r="C6" s="20"/>
      <c r="D6" s="20"/>
      <c r="E6" s="20"/>
      <c r="F6" s="20"/>
      <c r="G6" s="20"/>
      <c r="H6" s="20"/>
      <c r="I6" s="20"/>
      <c r="J6" s="20"/>
      <c r="K6" s="20"/>
      <c r="L6" s="20"/>
      <c r="M6" s="38" t="str">
        <v>C0004</v>
      </c>
      <c r="N6" s="39">
        <v>1991</v>
      </c>
      <c r="O6" s="39">
        <v>1886</v>
      </c>
      <c r="P6" s="39">
        <v>1206</v>
      </c>
      <c r="Q6" s="39">
        <v>884</v>
      </c>
      <c r="R6" s="39">
        <v>1722</v>
      </c>
      <c r="S6" s="40">
        <v>7689</v>
      </c>
      <c r="T6" s="20"/>
      <c r="U6" s="20"/>
      <c r="V6" s="20"/>
      <c r="W6" s="20"/>
      <c r="X6" s="20"/>
      <c r="Y6" s="20"/>
      <c r="Z6" s="20"/>
      <c r="AA6" s="20"/>
      <c r="AB6" s="20"/>
      <c r="AC6" s="20"/>
      <c r="AD6" s="20"/>
    </row>
    <row r="7" spans="1:30" ht="14.4" x14ac:dyDescent="0.3">
      <c r="A7" s="20"/>
      <c r="B7" s="20"/>
      <c r="C7" s="20"/>
      <c r="D7" s="20"/>
      <c r="E7" s="20"/>
      <c r="F7" s="20"/>
      <c r="G7" s="20"/>
      <c r="H7" s="20"/>
      <c r="I7" s="20"/>
      <c r="J7" s="20"/>
      <c r="K7" s="20"/>
      <c r="L7" s="20"/>
      <c r="M7" s="38" t="str">
        <v>C0011</v>
      </c>
      <c r="N7" s="39">
        <v>1163</v>
      </c>
      <c r="O7" s="39">
        <v>1180</v>
      </c>
      <c r="P7" s="39">
        <v>1616</v>
      </c>
      <c r="Q7" s="39">
        <v>1043</v>
      </c>
      <c r="R7" s="39">
        <v>1747</v>
      </c>
      <c r="S7" s="40">
        <v>6749</v>
      </c>
      <c r="T7" s="20"/>
      <c r="U7" s="20"/>
      <c r="V7" s="20"/>
      <c r="W7" s="20"/>
      <c r="X7" s="20"/>
      <c r="Y7" s="20"/>
      <c r="Z7" s="20"/>
      <c r="AA7" s="20"/>
      <c r="AB7" s="20"/>
      <c r="AC7" s="20"/>
      <c r="AD7" s="20"/>
    </row>
    <row r="8" spans="1:30" ht="14.4" x14ac:dyDescent="0.3">
      <c r="A8" s="20"/>
      <c r="B8" s="20"/>
      <c r="C8" s="20"/>
      <c r="D8" s="20"/>
      <c r="E8" s="20"/>
      <c r="F8" s="20"/>
      <c r="G8" s="20"/>
      <c r="H8" s="20"/>
      <c r="I8" s="20"/>
      <c r="J8" s="20"/>
      <c r="K8" s="20"/>
      <c r="L8" s="20"/>
      <c r="M8" s="38" t="str">
        <v>C0012</v>
      </c>
      <c r="N8" s="39">
        <v>1438</v>
      </c>
      <c r="O8" s="39">
        <v>1616</v>
      </c>
      <c r="P8" s="39">
        <v>866</v>
      </c>
      <c r="Q8" s="39">
        <v>829</v>
      </c>
      <c r="R8" s="39">
        <v>2070</v>
      </c>
      <c r="S8" s="40">
        <v>6819</v>
      </c>
      <c r="T8" s="20"/>
      <c r="U8" s="20"/>
      <c r="V8" s="20"/>
      <c r="W8" s="20"/>
      <c r="X8" s="20"/>
      <c r="Y8" s="20"/>
      <c r="Z8" s="20"/>
      <c r="AA8" s="20"/>
      <c r="AB8" s="20"/>
      <c r="AC8" s="20"/>
      <c r="AD8" s="20"/>
    </row>
    <row r="9" spans="1:30" ht="14.4" x14ac:dyDescent="0.3">
      <c r="A9" s="20"/>
      <c r="B9" s="20"/>
      <c r="C9" s="20"/>
      <c r="D9" s="20"/>
      <c r="E9" s="20"/>
      <c r="F9" s="20"/>
      <c r="G9" s="20"/>
      <c r="H9" s="20"/>
      <c r="I9" s="20"/>
      <c r="J9" s="20"/>
      <c r="K9" s="20"/>
      <c r="L9" s="20"/>
      <c r="M9" s="38" t="str">
        <v>Cleveland</v>
      </c>
      <c r="N9" s="39" t="str">
        <v/>
      </c>
      <c r="O9" s="39" t="str">
        <v/>
      </c>
      <c r="P9" s="39" t="str">
        <v/>
      </c>
      <c r="Q9" s="39" t="str">
        <v/>
      </c>
      <c r="R9" s="39" t="str">
        <v/>
      </c>
      <c r="S9" s="40" t="str">
        <v/>
      </c>
      <c r="T9" s="20"/>
      <c r="U9" s="20"/>
      <c r="V9" s="20"/>
      <c r="W9" s="20"/>
      <c r="X9" s="20"/>
      <c r="Y9" s="20"/>
      <c r="Z9" s="20"/>
      <c r="AA9" s="20"/>
      <c r="AB9" s="20"/>
      <c r="AC9" s="20"/>
      <c r="AD9" s="20"/>
    </row>
    <row r="10" spans="1:30" ht="14.4" x14ac:dyDescent="0.3">
      <c r="A10" s="20"/>
      <c r="B10" s="20"/>
      <c r="C10" s="20"/>
      <c r="D10" s="20"/>
      <c r="E10" s="20"/>
      <c r="F10" s="20"/>
      <c r="G10" s="20"/>
      <c r="H10" s="20"/>
      <c r="I10" s="20"/>
      <c r="J10" s="20"/>
      <c r="K10" s="20"/>
      <c r="L10" s="20"/>
      <c r="M10" s="38" t="str">
        <v>C0002</v>
      </c>
      <c r="N10" s="39">
        <v>1233</v>
      </c>
      <c r="O10" s="39">
        <v>223</v>
      </c>
      <c r="P10" s="39">
        <v>1680</v>
      </c>
      <c r="Q10" s="39">
        <v>990</v>
      </c>
      <c r="R10" s="39">
        <v>1508</v>
      </c>
      <c r="S10" s="40">
        <v>5634</v>
      </c>
      <c r="T10" s="20"/>
      <c r="U10" s="20"/>
      <c r="V10" s="20"/>
      <c r="W10" s="20"/>
      <c r="X10" s="20"/>
      <c r="Y10" s="20"/>
      <c r="Z10" s="20"/>
      <c r="AA10" s="20"/>
      <c r="AB10" s="20"/>
      <c r="AC10" s="20"/>
      <c r="AD10" s="20"/>
    </row>
    <row r="11" spans="1:30" ht="14.4" x14ac:dyDescent="0.3">
      <c r="A11" s="20"/>
      <c r="B11" s="20"/>
      <c r="C11" s="20"/>
      <c r="D11" s="20"/>
      <c r="E11" s="20"/>
      <c r="F11" s="20"/>
      <c r="G11" s="20"/>
      <c r="H11" s="20"/>
      <c r="I11" s="20"/>
      <c r="J11" s="20"/>
      <c r="K11" s="20"/>
      <c r="L11" s="20"/>
      <c r="M11" s="38" t="str">
        <v>C0007</v>
      </c>
      <c r="N11" s="39">
        <v>1598</v>
      </c>
      <c r="O11" s="39">
        <v>1907</v>
      </c>
      <c r="P11" s="39">
        <v>869</v>
      </c>
      <c r="Q11" s="39">
        <v>1426</v>
      </c>
      <c r="R11" s="39">
        <v>1416</v>
      </c>
      <c r="S11" s="40">
        <v>7216</v>
      </c>
      <c r="T11" s="20"/>
      <c r="U11" s="20"/>
      <c r="V11" s="20"/>
      <c r="W11" s="20"/>
      <c r="X11" s="20"/>
      <c r="Y11" s="20"/>
      <c r="Z11" s="20"/>
      <c r="AA11" s="20"/>
      <c r="AB11" s="20"/>
      <c r="AC11" s="20"/>
      <c r="AD11" s="20"/>
    </row>
    <row r="12" spans="1:30" ht="14.4" x14ac:dyDescent="0.3">
      <c r="A12" s="20"/>
      <c r="B12" s="20"/>
      <c r="C12" s="20"/>
      <c r="D12" s="20"/>
      <c r="E12" s="20"/>
      <c r="F12" s="20"/>
      <c r="G12" s="20"/>
      <c r="H12" s="20"/>
      <c r="I12" s="20"/>
      <c r="J12" s="20"/>
      <c r="K12" s="20"/>
      <c r="L12" s="20"/>
      <c r="M12" s="38" t="str">
        <v>C0008</v>
      </c>
      <c r="N12" s="39">
        <v>900</v>
      </c>
      <c r="O12" s="39">
        <v>1016</v>
      </c>
      <c r="P12" s="39">
        <v>960</v>
      </c>
      <c r="Q12" s="39">
        <v>940</v>
      </c>
      <c r="R12" s="39">
        <v>1193</v>
      </c>
      <c r="S12" s="40">
        <v>5009</v>
      </c>
      <c r="T12" s="20"/>
      <c r="U12" s="20"/>
      <c r="V12" s="20"/>
      <c r="W12" s="20"/>
      <c r="X12" s="20"/>
      <c r="Y12" s="20"/>
      <c r="Z12" s="20"/>
      <c r="AA12" s="20"/>
      <c r="AB12" s="20"/>
      <c r="AC12" s="20"/>
      <c r="AD12" s="20"/>
    </row>
    <row r="13" spans="1:30" ht="14.4" x14ac:dyDescent="0.3">
      <c r="A13" s="20"/>
      <c r="B13" s="20"/>
      <c r="C13" s="20"/>
      <c r="D13" s="20"/>
      <c r="E13" s="20"/>
      <c r="F13" s="20"/>
      <c r="G13" s="20"/>
      <c r="H13" s="20"/>
      <c r="I13" s="20"/>
      <c r="J13" s="20"/>
      <c r="K13" s="20"/>
      <c r="L13" s="20"/>
      <c r="M13" s="38" t="str">
        <v>C0010</v>
      </c>
      <c r="N13" s="39">
        <v>900</v>
      </c>
      <c r="O13" s="39">
        <v>1470</v>
      </c>
      <c r="P13" s="39">
        <v>1617</v>
      </c>
      <c r="Q13" s="39">
        <v>1314</v>
      </c>
      <c r="R13" s="39">
        <v>941</v>
      </c>
      <c r="S13" s="40">
        <v>6242</v>
      </c>
      <c r="T13" s="20"/>
      <c r="U13" s="20"/>
      <c r="V13" s="20"/>
      <c r="W13" s="20"/>
      <c r="X13" s="20"/>
      <c r="Y13" s="20"/>
      <c r="Z13" s="20"/>
      <c r="AA13" s="20"/>
      <c r="AB13" s="20"/>
      <c r="AC13" s="20"/>
      <c r="AD13" s="20"/>
    </row>
    <row r="14" spans="1:30" ht="14.4" x14ac:dyDescent="0.3">
      <c r="A14" s="20"/>
      <c r="B14" s="20"/>
      <c r="C14" s="20"/>
      <c r="D14" s="20"/>
      <c r="E14" s="20"/>
      <c r="F14" s="20"/>
      <c r="G14" s="20"/>
      <c r="H14" s="20"/>
      <c r="I14" s="20"/>
      <c r="J14" s="20"/>
      <c r="K14" s="20"/>
      <c r="L14" s="20"/>
      <c r="M14" s="38" t="str">
        <v>C0013</v>
      </c>
      <c r="N14" s="39">
        <v>1255</v>
      </c>
      <c r="O14" s="39">
        <v>516</v>
      </c>
      <c r="P14" s="39">
        <v>1874</v>
      </c>
      <c r="Q14" s="39">
        <v>1863</v>
      </c>
      <c r="R14" s="39">
        <v>1722</v>
      </c>
      <c r="S14" s="40">
        <v>7230</v>
      </c>
      <c r="T14" s="20"/>
      <c r="U14" s="20"/>
      <c r="V14" s="20"/>
      <c r="W14" s="20"/>
      <c r="X14" s="20"/>
      <c r="Y14" s="20"/>
      <c r="Z14" s="20"/>
      <c r="AA14" s="20"/>
      <c r="AB14" s="20"/>
      <c r="AC14" s="20"/>
      <c r="AD14" s="20"/>
    </row>
    <row r="15" spans="1:30" ht="14.4" x14ac:dyDescent="0.3">
      <c r="A15" s="20"/>
      <c r="B15" s="20"/>
      <c r="C15" s="20"/>
      <c r="D15" s="20"/>
      <c r="E15" s="20"/>
      <c r="F15" s="20"/>
      <c r="G15" s="20"/>
      <c r="H15" s="20"/>
      <c r="I15" s="20"/>
      <c r="L15" s="20"/>
      <c r="M15" s="38" t="str">
        <v>C0015</v>
      </c>
      <c r="N15" s="39">
        <v>1138</v>
      </c>
      <c r="O15" s="39">
        <v>1898</v>
      </c>
      <c r="P15" s="39">
        <v>1482</v>
      </c>
      <c r="Q15" s="39">
        <v>846</v>
      </c>
      <c r="R15" s="39">
        <v>1154</v>
      </c>
      <c r="S15" s="40">
        <v>6518</v>
      </c>
      <c r="T15" s="20"/>
      <c r="U15" s="20"/>
      <c r="V15" s="20"/>
      <c r="W15" s="20"/>
      <c r="X15" s="20"/>
      <c r="Y15" s="20"/>
      <c r="Z15" s="20"/>
      <c r="AA15" s="20"/>
      <c r="AB15" s="20"/>
      <c r="AC15" s="20"/>
      <c r="AD15" s="20"/>
    </row>
    <row r="16" spans="1:30" ht="14.4" x14ac:dyDescent="0.3">
      <c r="A16" s="20"/>
      <c r="B16" s="20"/>
      <c r="C16" s="20"/>
      <c r="D16" s="20"/>
      <c r="E16" s="20"/>
      <c r="F16" s="20"/>
      <c r="G16" s="36" t="e" vm="1">
        <f>'Pivot Tables'!K43</f>
        <v>#VALUE!</v>
      </c>
      <c r="H16" s="36"/>
      <c r="I16" s="37"/>
      <c r="L16" s="20"/>
      <c r="M16" s="38" t="str">
        <v>Columbus</v>
      </c>
      <c r="N16" s="39" t="str">
        <v/>
      </c>
      <c r="O16" s="39" t="str">
        <v/>
      </c>
      <c r="P16" s="39" t="str">
        <v/>
      </c>
      <c r="Q16" s="39" t="str">
        <v/>
      </c>
      <c r="R16" s="39" t="str">
        <v/>
      </c>
      <c r="S16" s="40" t="str">
        <v/>
      </c>
      <c r="T16" s="20"/>
      <c r="U16" s="20"/>
      <c r="V16" s="20"/>
      <c r="W16" s="20"/>
      <c r="X16" s="20"/>
      <c r="Y16" s="20"/>
      <c r="Z16" s="20"/>
      <c r="AA16" s="20"/>
      <c r="AB16" s="20"/>
      <c r="AC16" s="20"/>
      <c r="AD16" s="20"/>
    </row>
    <row r="17" spans="1:30" ht="14.4" x14ac:dyDescent="0.3">
      <c r="A17" s="20"/>
      <c r="B17" s="20"/>
      <c r="C17" s="20"/>
      <c r="D17" s="20"/>
      <c r="E17" s="20"/>
      <c r="F17" s="20"/>
      <c r="G17" s="36"/>
      <c r="H17" s="36"/>
      <c r="I17" s="37"/>
      <c r="L17" s="20"/>
      <c r="M17" s="38" t="str">
        <v>C0001</v>
      </c>
      <c r="N17" s="39">
        <v>1655</v>
      </c>
      <c r="O17" s="39">
        <v>805</v>
      </c>
      <c r="P17" s="39">
        <v>2263</v>
      </c>
      <c r="Q17" s="39">
        <v>987</v>
      </c>
      <c r="R17" s="39">
        <v>1075</v>
      </c>
      <c r="S17" s="40">
        <v>6785</v>
      </c>
      <c r="T17" s="20"/>
      <c r="U17" s="20"/>
      <c r="V17" s="20"/>
      <c r="W17" s="20"/>
      <c r="X17" s="20"/>
      <c r="Y17" s="20"/>
      <c r="Z17" s="20"/>
      <c r="AA17" s="20"/>
      <c r="AB17" s="20"/>
      <c r="AC17" s="20"/>
      <c r="AD17" s="20"/>
    </row>
    <row r="18" spans="1:30" ht="14.4" x14ac:dyDescent="0.3">
      <c r="A18" s="20"/>
      <c r="B18" s="20"/>
      <c r="C18" s="20"/>
      <c r="D18" s="20"/>
      <c r="E18" s="20"/>
      <c r="F18" s="20"/>
      <c r="G18" s="36"/>
      <c r="H18" s="36"/>
      <c r="I18" s="37"/>
      <c r="L18" s="20"/>
      <c r="M18" s="38" t="str">
        <v>C0005</v>
      </c>
      <c r="N18" s="39">
        <v>1104</v>
      </c>
      <c r="O18" s="39">
        <v>2280</v>
      </c>
      <c r="P18" s="39">
        <v>1445</v>
      </c>
      <c r="Q18" s="39">
        <v>1722</v>
      </c>
      <c r="R18" s="39">
        <v>1196</v>
      </c>
      <c r="S18" s="40">
        <v>7747</v>
      </c>
      <c r="T18" s="20"/>
      <c r="U18" s="20"/>
      <c r="V18" s="20"/>
      <c r="W18" s="20"/>
      <c r="X18" s="20"/>
      <c r="Y18" s="20"/>
      <c r="Z18" s="20"/>
      <c r="AA18" s="20"/>
      <c r="AB18" s="20"/>
      <c r="AC18" s="20"/>
      <c r="AD18" s="20"/>
    </row>
    <row r="19" spans="1:30" ht="14.4" x14ac:dyDescent="0.3">
      <c r="A19" s="20"/>
      <c r="B19" s="20"/>
      <c r="C19" s="20"/>
      <c r="D19" s="20"/>
      <c r="E19" s="20"/>
      <c r="F19" s="20"/>
      <c r="G19" s="36"/>
      <c r="H19" s="36"/>
      <c r="I19" s="37"/>
      <c r="L19" s="20"/>
      <c r="M19" s="38" t="str">
        <v>C0006</v>
      </c>
      <c r="N19" s="39">
        <v>372</v>
      </c>
      <c r="O19" s="39">
        <v>1818</v>
      </c>
      <c r="P19" s="39">
        <v>1346</v>
      </c>
      <c r="Q19" s="39">
        <v>1156</v>
      </c>
      <c r="R19" s="39">
        <v>1484</v>
      </c>
      <c r="S19" s="40">
        <v>6176</v>
      </c>
      <c r="T19" s="20"/>
      <c r="U19" s="20"/>
      <c r="V19" s="20"/>
      <c r="W19" s="20"/>
      <c r="X19" s="20"/>
      <c r="Y19" s="20"/>
      <c r="Z19" s="20"/>
      <c r="AA19" s="20"/>
      <c r="AB19" s="20"/>
      <c r="AC19" s="20"/>
      <c r="AD19" s="20"/>
    </row>
    <row r="20" spans="1:30" ht="14.4" x14ac:dyDescent="0.3">
      <c r="A20" s="20"/>
      <c r="B20" s="20"/>
      <c r="C20" s="20"/>
      <c r="D20" s="20"/>
      <c r="E20" s="20"/>
      <c r="F20" s="20"/>
      <c r="G20" s="20"/>
      <c r="H20" s="20"/>
      <c r="I20" s="20"/>
      <c r="L20" s="20"/>
      <c r="M20" s="38" t="str">
        <v>C0009</v>
      </c>
      <c r="N20" s="39">
        <v>1415</v>
      </c>
      <c r="O20" s="39">
        <v>1271</v>
      </c>
      <c r="P20" s="39">
        <v>1214</v>
      </c>
      <c r="Q20" s="39">
        <v>1135</v>
      </c>
      <c r="R20" s="39">
        <v>1566</v>
      </c>
      <c r="S20" s="40">
        <v>6601</v>
      </c>
      <c r="T20" s="20"/>
      <c r="U20" s="20"/>
      <c r="V20" s="20"/>
      <c r="W20" s="20"/>
      <c r="X20" s="20"/>
      <c r="Y20" s="20"/>
      <c r="Z20" s="20"/>
      <c r="AA20" s="20"/>
      <c r="AB20" s="20"/>
      <c r="AC20" s="20"/>
      <c r="AD20" s="20"/>
    </row>
    <row r="21" spans="1:30" ht="18" thickBot="1" x14ac:dyDescent="0.35">
      <c r="A21" s="20"/>
      <c r="B21" s="20"/>
      <c r="C21" s="20"/>
      <c r="D21" s="20"/>
      <c r="E21" s="20"/>
      <c r="F21" s="20"/>
      <c r="G21" s="20"/>
      <c r="H21" s="33" t="str">
        <f>'Pivot Tables'!K40</f>
        <v>% of Calls:20.7%</v>
      </c>
      <c r="I21" s="33"/>
      <c r="L21" s="20"/>
      <c r="M21" s="41" t="str">
        <v>C0014</v>
      </c>
      <c r="N21" s="42">
        <v>1362</v>
      </c>
      <c r="O21" s="42">
        <v>1363</v>
      </c>
      <c r="P21" s="42">
        <v>1152</v>
      </c>
      <c r="Q21" s="42">
        <v>777</v>
      </c>
      <c r="R21" s="42">
        <v>750</v>
      </c>
      <c r="S21" s="43">
        <v>5404</v>
      </c>
      <c r="T21" s="20"/>
      <c r="U21" s="20"/>
      <c r="V21" s="20"/>
      <c r="W21" s="20"/>
      <c r="X21" s="20"/>
      <c r="Y21" s="20"/>
      <c r="Z21" s="20"/>
      <c r="AA21" s="20"/>
      <c r="AB21" s="20"/>
      <c r="AC21" s="20"/>
      <c r="AD21" s="20"/>
    </row>
    <row r="22" spans="1:30" ht="17.399999999999999" x14ac:dyDescent="0.3">
      <c r="A22" s="20"/>
      <c r="B22" s="20"/>
      <c r="C22" s="20"/>
      <c r="D22" s="20"/>
      <c r="E22" s="20"/>
      <c r="F22" s="20"/>
      <c r="G22" s="20"/>
      <c r="H22" s="33" t="str">
        <f>'Pivot Tables'!K41</f>
        <v>Call Rank:2</v>
      </c>
      <c r="I22" s="33"/>
      <c r="L22" s="20"/>
      <c r="M22" s="20"/>
      <c r="N22" s="20"/>
      <c r="O22" s="20"/>
      <c r="P22" s="20"/>
      <c r="Q22" s="20"/>
      <c r="R22" s="20"/>
      <c r="S22" s="20"/>
      <c r="T22" s="20"/>
      <c r="U22" s="20"/>
      <c r="V22" s="20"/>
      <c r="W22" s="20"/>
      <c r="X22" s="20"/>
      <c r="Y22" s="20"/>
      <c r="Z22" s="20"/>
      <c r="AA22" s="20"/>
      <c r="AB22" s="20"/>
      <c r="AC22" s="20"/>
      <c r="AD22" s="20"/>
    </row>
    <row r="23" spans="1:30" ht="17.399999999999999" x14ac:dyDescent="0.3">
      <c r="A23" s="20"/>
      <c r="B23" s="20"/>
      <c r="C23" s="20"/>
      <c r="D23" s="20"/>
      <c r="E23" s="20"/>
      <c r="F23" s="20"/>
      <c r="G23" s="20"/>
      <c r="H23" s="33" t="str">
        <f>'Pivot Tables'!K42</f>
        <v>Amount Rank:1</v>
      </c>
      <c r="I23" s="33"/>
      <c r="J23" s="20"/>
      <c r="K23" s="20"/>
      <c r="L23" s="20"/>
      <c r="M23" s="20"/>
      <c r="N23" s="20"/>
      <c r="O23" s="20"/>
      <c r="P23" s="20"/>
      <c r="Q23" s="20"/>
      <c r="R23" s="20"/>
      <c r="S23" s="20"/>
      <c r="T23" s="20"/>
      <c r="U23" s="20"/>
      <c r="V23" s="20"/>
      <c r="W23" s="20"/>
      <c r="X23" s="20"/>
      <c r="Y23" s="20"/>
      <c r="Z23" s="20"/>
      <c r="AA23" s="20"/>
      <c r="AB23" s="20"/>
      <c r="AC23" s="20"/>
      <c r="AD23" s="20"/>
    </row>
    <row r="24" spans="1:30" x14ac:dyDescent="0.25">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row>
    <row r="25" spans="1:30" x14ac:dyDescent="0.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row>
    <row r="26" spans="1:30"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row>
    <row r="27" spans="1:30" x14ac:dyDescent="0.25">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row>
    <row r="28" spans="1:30" x14ac:dyDescent="0.25">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row>
    <row r="29" spans="1:30" x14ac:dyDescent="0.25">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row>
    <row r="30" spans="1:30" x14ac:dyDescent="0.25">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row>
    <row r="31" spans="1:30" x14ac:dyDescent="0.25">
      <c r="A31" s="20"/>
      <c r="B31" s="20"/>
      <c r="C31" s="20"/>
      <c r="D31" s="20"/>
      <c r="E31" s="20"/>
      <c r="F31" s="20"/>
      <c r="G31" s="20"/>
      <c r="H31" s="20"/>
      <c r="I31" s="28"/>
      <c r="J31" s="20"/>
      <c r="K31" s="20"/>
      <c r="L31" s="20"/>
      <c r="M31" s="20"/>
      <c r="N31" s="20"/>
      <c r="O31" s="20"/>
      <c r="P31" s="20"/>
      <c r="Q31" s="20"/>
      <c r="R31" s="20"/>
      <c r="S31" s="20"/>
      <c r="T31" s="20"/>
      <c r="U31" s="20"/>
      <c r="V31" s="20"/>
      <c r="W31" s="20"/>
      <c r="X31" s="20"/>
      <c r="Y31" s="20"/>
      <c r="Z31" s="20"/>
      <c r="AA31" s="20"/>
      <c r="AB31" s="20"/>
      <c r="AC31" s="20"/>
      <c r="AD31" s="20"/>
    </row>
    <row r="32" spans="1:30" x14ac:dyDescent="0.25">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row>
    <row r="33" spans="1:30" x14ac:dyDescent="0.25">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row>
    <row r="34" spans="1:30" x14ac:dyDescent="0.25">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row>
    <row r="36" spans="1:30" x14ac:dyDescent="0.2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row>
    <row r="37" spans="1:30"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row>
    <row r="38" spans="1:30"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row>
    <row r="39" spans="1:30"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row>
    <row r="40" spans="1:30"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row>
    <row r="41" spans="1:30"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row>
    <row r="42" spans="1:30"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row>
    <row r="43" spans="1:30"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row>
    <row r="44" spans="1:30" x14ac:dyDescent="0.2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row>
    <row r="45" spans="1:30" x14ac:dyDescent="0.2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row>
    <row r="46" spans="1:30" x14ac:dyDescent="0.2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row>
    <row r="47" spans="1:30" x14ac:dyDescent="0.2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row>
    <row r="48" spans="1:30" x14ac:dyDescent="0.2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row>
    <row r="49" spans="1:30" x14ac:dyDescent="0.2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row>
    <row r="50" spans="1:30" x14ac:dyDescent="0.2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row>
    <row r="51" spans="1:30" x14ac:dyDescent="0.2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row>
    <row r="52" spans="1:30" x14ac:dyDescent="0.2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row>
    <row r="53" spans="1:30" x14ac:dyDescent="0.2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row>
    <row r="54" spans="1:30" x14ac:dyDescent="0.2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row>
    <row r="55" spans="1:30" x14ac:dyDescent="0.2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row>
    <row r="56" spans="1:30" x14ac:dyDescent="0.2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row>
    <row r="57" spans="1:30" x14ac:dyDescent="0.2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row>
    <row r="58" spans="1:30" x14ac:dyDescent="0.2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row>
    <row r="59" spans="1:30" x14ac:dyDescent="0.2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row>
    <row r="60" spans="1:30" x14ac:dyDescent="0.2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row>
    <row r="61" spans="1:30" x14ac:dyDescent="0.2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row>
    <row r="62" spans="1:30" x14ac:dyDescent="0.2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row>
    <row r="63" spans="1:30" x14ac:dyDescent="0.2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row>
    <row r="64" spans="1:30" x14ac:dyDescent="0.2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row>
    <row r="65" spans="1:30" x14ac:dyDescent="0.2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row>
    <row r="66" spans="1:30" x14ac:dyDescent="0.2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row>
    <row r="67" spans="1:30" x14ac:dyDescent="0.2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row>
    <row r="68" spans="1:30" x14ac:dyDescent="0.25">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row>
    <row r="69" spans="1:30" x14ac:dyDescent="0.25">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row>
    <row r="70" spans="1:30" x14ac:dyDescent="0.25">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row>
    <row r="71" spans="1:30" x14ac:dyDescent="0.25">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row>
    <row r="72" spans="1:30" x14ac:dyDescent="0.2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row>
    <row r="73" spans="1:30" x14ac:dyDescent="0.25">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row>
    <row r="74" spans="1:30" x14ac:dyDescent="0.25">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row>
    <row r="75" spans="1:30" x14ac:dyDescent="0.2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row>
    <row r="76" spans="1:30" x14ac:dyDescent="0.25">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row>
    <row r="77" spans="1:30" x14ac:dyDescent="0.2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row>
    <row r="78" spans="1:30" x14ac:dyDescent="0.2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row>
    <row r="79" spans="1:30" x14ac:dyDescent="0.2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row>
    <row r="80" spans="1:30" x14ac:dyDescent="0.25">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row>
    <row r="81" spans="1:30" x14ac:dyDescent="0.25">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row>
    <row r="82" spans="1:30" x14ac:dyDescent="0.25">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row>
    <row r="83" spans="1:30" x14ac:dyDescent="0.25">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row>
    <row r="84" spans="1:30" x14ac:dyDescent="0.25">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row>
    <row r="85" spans="1:30" x14ac:dyDescent="0.2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row>
    <row r="86" spans="1:30" x14ac:dyDescent="0.25">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row>
  </sheetData>
  <mergeCells count="1">
    <mergeCell ref="G16:I19"/>
  </mergeCells>
  <conditionalFormatting sqref="N5:R21">
    <cfRule type="dataBar" priority="2">
      <dataBar>
        <cfvo type="num" val="0"/>
        <cfvo type="formula" val="MAX($N$5:$R$21)*2"/>
        <color theme="8" tint="-0.249977111117893"/>
      </dataBar>
      <extLst>
        <ext xmlns:x14="http://schemas.microsoft.com/office/spreadsheetml/2009/9/main" uri="{B025F937-C7B1-47D3-B67F-A62EFF666E3E}">
          <x14:id>{11A20794-7BE8-4A7F-8627-5900CD8995E6}</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5" id="{E3CAE2AC-B2C9-40B4-A57C-44855D2FFCEF}">
            <xm:f>N$3='Pivot Tables'!$E$67</xm:f>
            <x14:dxf>
              <fill>
                <patternFill>
                  <bgColor rgb="FFFFC000"/>
                </patternFill>
              </fill>
              <border>
                <left style="dashDotDot">
                  <color auto="1"/>
                </left>
                <right style="dashDotDot">
                  <color auto="1"/>
                </right>
                <top style="dashDotDot">
                  <color auto="1"/>
                </top>
                <bottom style="dashDotDot">
                  <color auto="1"/>
                </bottom>
                <vertical/>
                <horizontal/>
              </border>
            </x14:dxf>
          </x14:cfRule>
          <xm:sqref>N4:R20</xm:sqref>
        </x14:conditionalFormatting>
        <x14:conditionalFormatting xmlns:xm="http://schemas.microsoft.com/office/excel/2006/main">
          <x14:cfRule type="dataBar" id="{11A20794-7BE8-4A7F-8627-5900CD8995E6}">
            <x14:dataBar minLength="0" maxLength="100" gradient="0">
              <x14:cfvo type="num">
                <xm:f>0</xm:f>
              </x14:cfvo>
              <x14:cfvo type="formula">
                <xm:f>MAX($N$5:$R$21)*2</xm:f>
              </x14:cfvo>
              <x14:negativeFillColor rgb="FFFF0000"/>
              <x14:axisColor rgb="FF000000"/>
            </x14:dataBar>
          </x14:cfRule>
          <xm:sqref>N5:R21</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F7" sqref="F7"/>
    </sheetView>
  </sheetViews>
  <sheetFormatPr defaultRowHeight="13.8" x14ac:dyDescent="0.25"/>
  <cols>
    <col min="5" max="5" width="10.69921875" customWidth="1"/>
    <col min="6" max="6" width="9.69921875" customWidth="1"/>
  </cols>
  <sheetData>
    <row r="2" spans="5:6" x14ac:dyDescent="0.25">
      <c r="E2" t="s">
        <v>1039</v>
      </c>
      <c r="F2" t="s">
        <v>1040</v>
      </c>
    </row>
    <row r="3" spans="5:6" ht="25.5" customHeight="1" x14ac:dyDescent="0.25">
      <c r="E3" t="s">
        <v>11</v>
      </c>
      <c r="F3" t="e" vm="2">
        <v>#VALUE!</v>
      </c>
    </row>
    <row r="4" spans="5:6" ht="25.5" customHeight="1" x14ac:dyDescent="0.25">
      <c r="E4" t="s">
        <v>9</v>
      </c>
      <c r="F4" t="e" vm="3">
        <v>#VALUE!</v>
      </c>
    </row>
    <row r="5" spans="5:6" ht="25.5" customHeight="1" x14ac:dyDescent="0.25">
      <c r="E5" t="s">
        <v>6</v>
      </c>
      <c r="F5" t="e" vm="4">
        <v>#VALUE!</v>
      </c>
    </row>
    <row r="6" spans="5:6" ht="25.5" customHeight="1" x14ac:dyDescent="0.25">
      <c r="E6" t="s">
        <v>13</v>
      </c>
      <c r="F6" t="e" vm="5">
        <v>#VALUE!</v>
      </c>
    </row>
    <row r="7" spans="5:6" ht="25.5" customHeight="1" x14ac:dyDescent="0.25">
      <c r="E7" t="s">
        <v>10</v>
      </c>
      <c r="F7" t="e" vm="6">
        <v>#VALUE!</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9E7612-6AE0-4A3A-BE97-4886A6CB29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Data</vt:lpstr>
      <vt:lpstr>Dashboard Customer Care Center</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Shivinderpal singh</cp:lastModifiedBy>
  <dcterms:created xsi:type="dcterms:W3CDTF">2021-03-14T20:21:32Z</dcterms:created>
  <dcterms:modified xsi:type="dcterms:W3CDTF">2026-09-25T10:48:06Z</dcterms:modified>
</cp:coreProperties>
</file>